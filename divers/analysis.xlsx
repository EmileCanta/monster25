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istancescells" sheetId="1" state="visible" r:id="rId3"/>
    <sheet name="time_alignement" sheetId="2" state="visible" r:id="rId4"/>
    <sheet name="efficiency_monster" sheetId="3" state="visible" r:id="rId5"/>
    <sheet name="eff_mrbig" sheetId="4" state="visible" r:id="rId6"/>
    <sheet name="eff_beta" sheetId="5" state="visible" r:id="rId7"/>
    <sheet name="Pn" sheetId="6" state="visible" r:id="rId8"/>
    <sheet name="effg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<sst xmlns="http://schemas.openxmlformats.org/spreadsheetml/2006/main" count="96" uniqueCount="74">
  <si>
    <t xml:space="preserve">RUN29</t>
  </si>
  <si>
    <t xml:space="preserve">Plastic</t>
  </si>
  <si>
    <t xml:space="preserve">MrBig</t>
  </si>
  <si>
    <t xml:space="preserve">Plastic better</t>
  </si>
  <si>
    <t xml:space="preserve"> -0.104158</t>
  </si>
  <si>
    <t xml:space="preserve">Date mesure :</t>
  </si>
  <si>
    <t xml:space="preserve">25 fev 2025</t>
  </si>
  <si>
    <t xml:space="preserve">delta t (s)</t>
  </si>
  <si>
    <t xml:space="preserve">A0(bq)</t>
  </si>
  <si>
    <t xml:space="preserve">Date source creation</t>
  </si>
  <si>
    <t xml:space="preserve">15 fev 2022 </t>
  </si>
  <si>
    <t xml:space="preserve">t1/2 (s)</t>
  </si>
  <si>
    <t xml:space="preserve">diff temps dates (s)</t>
  </si>
  <si>
    <t xml:space="preserve">A(t) (bq)</t>
  </si>
  <si>
    <t xml:space="preserve">Némis tot</t>
  </si>
  <si>
    <t xml:space="preserve">Energy maxw</t>
  </si>
  <si>
    <t xml:space="preserve">Branching maxw</t>
  </si>
  <si>
    <t xml:space="preserve">Némis</t>
  </si>
  <si>
    <t xml:space="preserve">error N emis</t>
  </si>
  <si>
    <t xml:space="preserve">Nrecus</t>
  </si>
  <si>
    <t xml:space="preserve">error Nrecus</t>
  </si>
  <si>
    <t xml:space="preserve">eff</t>
  </si>
  <si>
    <t xml:space="preserve">uncert1</t>
  </si>
  <si>
    <t xml:space="preserve">uncert2</t>
  </si>
  <si>
    <t xml:space="preserve">error eff</t>
  </si>
  <si>
    <t xml:space="preserve">err 10percent</t>
  </si>
  <si>
    <t xml:space="preserve">A0 eu</t>
  </si>
  <si>
    <t xml:space="preserve">A0 cs co</t>
  </si>
  <si>
    <t xml:space="preserve">Eg</t>
  </si>
  <si>
    <t xml:space="preserve">Ech</t>
  </si>
  <si>
    <t xml:space="preserve">Sig</t>
  </si>
  <si>
    <t xml:space="preserve">resid</t>
  </si>
  <si>
    <t xml:space="preserve">fwhm</t>
  </si>
  <si>
    <t xml:space="preserve">time cs</t>
  </si>
  <si>
    <t xml:space="preserve">A cs</t>
  </si>
  <si>
    <t xml:space="preserve">time co</t>
  </si>
  <si>
    <t xml:space="preserve">A co</t>
  </si>
  <si>
    <t xml:space="preserve">time eu</t>
  </si>
  <si>
    <t xml:space="preserve">A eu</t>
  </si>
  <si>
    <t xml:space="preserve">time source cs</t>
  </si>
  <si>
    <t xml:space="preserve">time source co</t>
  </si>
  <si>
    <t xml:space="preserve">time source eu</t>
  </si>
  <si>
    <t xml:space="preserve">Binning :</t>
  </si>
  <si>
    <t xml:space="preserve">half life cs</t>
  </si>
  <si>
    <t xml:space="preserve">half life co</t>
  </si>
  <si>
    <t xml:space="preserve">half life eu</t>
  </si>
  <si>
    <t xml:space="preserve">E</t>
  </si>
  <si>
    <t xml:space="preserve">Channel</t>
  </si>
  <si>
    <t xml:space="preserve">Inte</t>
  </si>
  <si>
    <t xml:space="preserve">Branching</t>
  </si>
  <si>
    <t xml:space="preserve">Emis</t>
  </si>
  <si>
    <t xml:space="preserve">Eff</t>
  </si>
  <si>
    <t xml:space="preserve">BetaCond</t>
  </si>
  <si>
    <t xml:space="preserve">Single</t>
  </si>
  <si>
    <t xml:space="preserve">Ngammaobs</t>
  </si>
  <si>
    <t xml:space="preserve">Nneutobs</t>
  </si>
  <si>
    <t xml:space="preserve">BR</t>
  </si>
  <si>
    <t xml:space="preserve">EffGamma</t>
  </si>
  <si>
    <t xml:space="preserve">Effbeta</t>
  </si>
  <si>
    <t xml:space="preserve">EffMonster</t>
  </si>
  <si>
    <t xml:space="preserve">Nbeta</t>
  </si>
  <si>
    <t xml:space="preserve">Pn</t>
  </si>
  <si>
    <t xml:space="preserve">prop pnobs/pnlit</t>
  </si>
  <si>
    <t xml:space="preserve">Inte ibu 0,5</t>
  </si>
  <si>
    <t xml:space="preserve">corr eff</t>
  </si>
  <si>
    <t xml:space="preserve">n_obs/ibu</t>
  </si>
  <si>
    <t xml:space="preserve">Ge43</t>
  </si>
  <si>
    <t xml:space="preserve">Int</t>
  </si>
  <si>
    <t xml:space="preserve">Eff corrigée</t>
  </si>
  <si>
    <t xml:space="preserve">Incert</t>
  </si>
  <si>
    <t xml:space="preserve">Ge44</t>
  </si>
  <si>
    <t xml:space="preserve">Ge45</t>
  </si>
  <si>
    <t xml:space="preserve">Eff tot</t>
  </si>
  <si>
    <t xml:space="preserve">Incert tot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</si>
</sst>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"/>
    <numFmt numFmtId="166" formatCode="0.00E+00"/>
    <numFmt numFmtId="167" formatCode="0"/>
    <numFmt numFmtId="168" formatCode="0.00%"/>
    <numFmt numFmtId="169" formatCode="0%"/>
    <numFmt numFmtId="170" formatCode="0.0%"/>
    <numFmt numFmtId="171" formatCode="0.0"/>
    <numFmt numFmtId="172" formatCode="0.000E+00"/>
  </numFmts>
  <fonts count="10">
    <font>
      <sz val="14"/>
      <color theme="1"/>
      <name val="Menlo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595959"/>
      <name val="Aptos Narrow"/>
      <family val="2"/>
    </font>
    <font>
      <sz val="9"/>
      <color rgb="FF595959"/>
      <name val="Aptos Narrow"/>
      <family val="2"/>
    </font>
    <font>
      <sz val="14"/>
      <color theme="1"/>
      <name val="Menlo Regular"/>
      <family val="0"/>
    </font>
    <font>
      <b val="true"/>
      <sz val="14"/>
      <color theme="1"/>
      <name val="Menlo"/>
      <family val="2"/>
    </font>
    <font>
      <sz val="20"/>
      <color rgb="FF595959"/>
      <name val="Aptos Narrow"/>
      <family val="2"/>
    </font>
    <font>
      <sz val="14"/>
      <color theme="1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rgb="FF8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4CFB46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4EA7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400" strike="noStrike" u="none">
                <a:solidFill>
                  <a:srgbClr val="595959"/>
                </a:solidFill>
                <a:uFillTx/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56082"/>
            </a:solidFill>
            <a:ln w="381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3816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distancescells!$A$1:$A$39</c:f>
              <c:numCache>
                <c:formatCode>General</c:formatCode>
                <c:ptCount val="39"/>
                <c:pt idx="0">
                  <c:v>151</c:v>
                </c:pt>
                <c:pt idx="1">
                  <c:v>152</c:v>
                </c:pt>
                <c:pt idx="2">
                  <c:v>155</c:v>
                </c:pt>
                <c:pt idx="3">
                  <c:v>157</c:v>
                </c:pt>
                <c:pt idx="4">
                  <c:v>160</c:v>
                </c:pt>
                <c:pt idx="5">
                  <c:v>162</c:v>
                </c:pt>
                <c:pt idx="6">
                  <c:v>163</c:v>
                </c:pt>
                <c:pt idx="7">
                  <c:v>152</c:v>
                </c:pt>
                <c:pt idx="8">
                  <c:v>152</c:v>
                </c:pt>
                <c:pt idx="9">
                  <c:v>154</c:v>
                </c:pt>
                <c:pt idx="10">
                  <c:v>156</c:v>
                </c:pt>
                <c:pt idx="11">
                  <c:v>157</c:v>
                </c:pt>
                <c:pt idx="12">
                  <c:v>158</c:v>
                </c:pt>
                <c:pt idx="13">
                  <c:v>161</c:v>
                </c:pt>
                <c:pt idx="14">
                  <c:v>152</c:v>
                </c:pt>
                <c:pt idx="15">
                  <c:v>153</c:v>
                </c:pt>
                <c:pt idx="16">
                  <c:v>153</c:v>
                </c:pt>
                <c:pt idx="17">
                  <c:v>154</c:v>
                </c:pt>
                <c:pt idx="18">
                  <c:v>155</c:v>
                </c:pt>
                <c:pt idx="19">
                  <c:v>157</c:v>
                </c:pt>
                <c:pt idx="20">
                  <c:v>158</c:v>
                </c:pt>
                <c:pt idx="21">
                  <c:v>152</c:v>
                </c:pt>
                <c:pt idx="22">
                  <c:v>152</c:v>
                </c:pt>
                <c:pt idx="23">
                  <c:v>154</c:v>
                </c:pt>
                <c:pt idx="24">
                  <c:v>154</c:v>
                </c:pt>
                <c:pt idx="25">
                  <c:v>155</c:v>
                </c:pt>
                <c:pt idx="26">
                  <c:v>153</c:v>
                </c:pt>
                <c:pt idx="27">
                  <c:v>154</c:v>
                </c:pt>
                <c:pt idx="28">
                  <c:v>154</c:v>
                </c:pt>
                <c:pt idx="29">
                  <c:v>155</c:v>
                </c:pt>
                <c:pt idx="30">
                  <c:v>156</c:v>
                </c:pt>
                <c:pt idx="31">
                  <c:v>152</c:v>
                </c:pt>
                <c:pt idx="32">
                  <c:v>153</c:v>
                </c:pt>
                <c:pt idx="33">
                  <c:v>154</c:v>
                </c:pt>
                <c:pt idx="34">
                  <c:v>156</c:v>
                </c:pt>
                <c:pt idx="35">
                  <c:v>157</c:v>
                </c:pt>
                <c:pt idx="36">
                  <c:v>154</c:v>
                </c:pt>
                <c:pt idx="37">
                  <c:v>156</c:v>
                </c:pt>
                <c:pt idx="38">
                  <c:v>158</c:v>
                </c:pt>
              </c:numCache>
            </c:numRef>
          </c:yVal>
          <c:smooth val="0"/>
        </c:ser>
        <c:axId val="65366903"/>
        <c:axId val="66186340"/>
      </c:scatterChart>
      <c:valAx>
        <c:axId val="65366903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66186340"/>
        <c:crosses val="autoZero"/>
        <c:crossBetween val="midCat"/>
      </c:valAx>
      <c:valAx>
        <c:axId val="6618634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6536690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400" strike="noStrike" u="none">
                <a:solidFill>
                  <a:srgbClr val="595959"/>
                </a:solidFill>
                <a:uFillTx/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5608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556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efficiency_monster!$J$13:$J$36</c:f>
                <c:numCache>
                  <c:formatCode>General</c:formatCode>
                  <c:ptCount val="24"/>
                  <c:pt idx="0">
                    <c:v>0</c:v>
                  </c:pt>
                  <c:pt idx="1">
                    <c:v>0.000226216924525648</c:v>
                  </c:pt>
                  <c:pt idx="2">
                    <c:v>0.000262827868101584</c:v>
                  </c:pt>
                  <c:pt idx="3">
                    <c:v>0.000258742738743185</c:v>
                  </c:pt>
                  <c:pt idx="4">
                    <c:v>0.000243486272091131</c:v>
                  </c:pt>
                  <c:pt idx="5">
                    <c:v>0.000234322673473038</c:v>
                  </c:pt>
                  <c:pt idx="6">
                    <c:v>0.000215839781559414</c:v>
                  </c:pt>
                  <c:pt idx="7">
                    <c:v>0.000208404122440775</c:v>
                  </c:pt>
                  <c:pt idx="8">
                    <c:v>0.000200028079466069</c:v>
                  </c:pt>
                  <c:pt idx="9">
                    <c:v>0.000197696651071629</c:v>
                  </c:pt>
                  <c:pt idx="10">
                    <c:v>0.000178493239788128</c:v>
                  </c:pt>
                  <c:pt idx="11">
                    <c:v>0.000173950176506118</c:v>
                  </c:pt>
                  <c:pt idx="12">
                    <c:v>0.000167653681062942</c:v>
                  </c:pt>
                  <c:pt idx="13">
                    <c:v>0.000172017399496379</c:v>
                  </c:pt>
                  <c:pt idx="14">
                    <c:v>0.000165150969022132</c:v>
                  </c:pt>
                  <c:pt idx="15">
                    <c:v>0.000155243092438848</c:v>
                  </c:pt>
                  <c:pt idx="16">
                    <c:v>0.000155666463177798</c:v>
                  </c:pt>
                  <c:pt idx="17">
                    <c:v>0.000144006344929081</c:v>
                  </c:pt>
                  <c:pt idx="18">
                    <c:v>0.000155487083974515</c:v>
                  </c:pt>
                  <c:pt idx="19">
                    <c:v>0.000147903230898418</c:v>
                  </c:pt>
                  <c:pt idx="20">
                    <c:v>0.000146712969051765</c:v>
                  </c:pt>
                  <c:pt idx="21">
                    <c:v>0.000142625711513344</c:v>
                  </c:pt>
                  <c:pt idx="22">
                    <c:v>0.00013475019109732</c:v>
                  </c:pt>
                  <c:pt idx="23">
                    <c:v>0.000146972229959489</c:v>
                  </c:pt>
                </c:numCache>
              </c:numRef>
            </c:plus>
            <c:minus>
              <c:numRef>
                <c:f>efficiency_monster!$J$13:$J$36</c:f>
                <c:numCache>
                  <c:formatCode>General</c:formatCode>
                  <c:ptCount val="24"/>
                  <c:pt idx="0">
                    <c:v>0</c:v>
                  </c:pt>
                  <c:pt idx="1">
                    <c:v>0.000226216924525648</c:v>
                  </c:pt>
                  <c:pt idx="2">
                    <c:v>0.000262827868101584</c:v>
                  </c:pt>
                  <c:pt idx="3">
                    <c:v>0.000258742738743185</c:v>
                  </c:pt>
                  <c:pt idx="4">
                    <c:v>0.000243486272091131</c:v>
                  </c:pt>
                  <c:pt idx="5">
                    <c:v>0.000234322673473038</c:v>
                  </c:pt>
                  <c:pt idx="6">
                    <c:v>0.000215839781559414</c:v>
                  </c:pt>
                  <c:pt idx="7">
                    <c:v>0.000208404122440775</c:v>
                  </c:pt>
                  <c:pt idx="8">
                    <c:v>0.000200028079466069</c:v>
                  </c:pt>
                  <c:pt idx="9">
                    <c:v>0.000197696651071629</c:v>
                  </c:pt>
                  <c:pt idx="10">
                    <c:v>0.000178493239788128</c:v>
                  </c:pt>
                  <c:pt idx="11">
                    <c:v>0.000173950176506118</c:v>
                  </c:pt>
                  <c:pt idx="12">
                    <c:v>0.000167653681062942</c:v>
                  </c:pt>
                  <c:pt idx="13">
                    <c:v>0.000172017399496379</c:v>
                  </c:pt>
                  <c:pt idx="14">
                    <c:v>0.000165150969022132</c:v>
                  </c:pt>
                  <c:pt idx="15">
                    <c:v>0.000155243092438848</c:v>
                  </c:pt>
                  <c:pt idx="16">
                    <c:v>0.000155666463177798</c:v>
                  </c:pt>
                  <c:pt idx="17">
                    <c:v>0.000144006344929081</c:v>
                  </c:pt>
                  <c:pt idx="18">
                    <c:v>0.000155487083974515</c:v>
                  </c:pt>
                  <c:pt idx="19">
                    <c:v>0.000147903230898418</c:v>
                  </c:pt>
                  <c:pt idx="20">
                    <c:v>0.000146712969051765</c:v>
                  </c:pt>
                  <c:pt idx="21">
                    <c:v>0.000142625711513344</c:v>
                  </c:pt>
                  <c:pt idx="22">
                    <c:v>0.00013475019109732</c:v>
                  </c:pt>
                  <c:pt idx="23">
                    <c:v>0.000146972229959489</c:v>
                  </c:pt>
                </c:numCache>
              </c:numRef>
            </c:minus>
            <c:spPr>
              <a:ln w="9360">
                <a:solidFill>
                  <a:srgbClr val="595959"/>
                </a:solidFill>
                <a:round/>
              </a:ln>
            </c:spPr>
          </c:errBars>
          <c:errBars>
            <c:errDir val="x"/>
            <c:errBarType val="both"/>
            <c:errValType val="fixedVal"/>
            <c:noEndCap val="0"/>
            <c:val val="0"/>
            <c:spPr>
              <a:ln w="9360">
                <a:solidFill>
                  <a:srgbClr val="595959"/>
                </a:solidFill>
                <a:round/>
              </a:ln>
            </c:spPr>
          </c:errBars>
          <c:xVal>
            <c:numRef>
              <c:f>efficiency_monster!$A$13:$A$36</c:f>
              <c:numCache>
                <c:formatCode>General</c:formatCode>
                <c:ptCount val="24"/>
                <c:pt idx="0">
                  <c:v>0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  <c:pt idx="20">
                  <c:v>4.2</c:v>
                </c:pt>
                <c:pt idx="21">
                  <c:v>4.4</c:v>
                </c:pt>
                <c:pt idx="22">
                  <c:v>4.6</c:v>
                </c:pt>
                <c:pt idx="23">
                  <c:v>4.8</c:v>
                </c:pt>
              </c:numCache>
            </c:numRef>
          </c:xVal>
          <c:yVal>
            <c:numRef>
              <c:f>efficiency_monster!$G$13:$G$36</c:f>
              <c:numCache>
                <c:formatCode>General</c:formatCode>
                <c:ptCount val="24"/>
                <c:pt idx="0">
                  <c:v>0</c:v>
                </c:pt>
                <c:pt idx="1">
                  <c:v>0.0250922123439437</c:v>
                </c:pt>
                <c:pt idx="2">
                  <c:v>0.0291630505035158</c:v>
                </c:pt>
                <c:pt idx="3">
                  <c:v>0.028709465687776</c:v>
                </c:pt>
                <c:pt idx="4">
                  <c:v>0.0270134998272188</c:v>
                </c:pt>
                <c:pt idx="5">
                  <c:v>0.0259935632441897</c:v>
                </c:pt>
                <c:pt idx="6">
                  <c:v>0.023937282381879</c:v>
                </c:pt>
                <c:pt idx="7">
                  <c:v>0.0231079101548389</c:v>
                </c:pt>
                <c:pt idx="8">
                  <c:v>0.0221733164778677</c:v>
                </c:pt>
                <c:pt idx="9">
                  <c:v>0.0219096481889452</c:v>
                </c:pt>
                <c:pt idx="10">
                  <c:v>0.0197706594104667</c:v>
                </c:pt>
                <c:pt idx="11">
                  <c:v>0.0192595058984358</c:v>
                </c:pt>
                <c:pt idx="12">
                  <c:v>0.0185528845653561</c:v>
                </c:pt>
                <c:pt idx="13">
                  <c:v>0.0190295882026091</c:v>
                </c:pt>
                <c:pt idx="14">
                  <c:v>0.0182571198016345</c:v>
                </c:pt>
                <c:pt idx="15">
                  <c:v>0.0171457816831472</c:v>
                </c:pt>
                <c:pt idx="16">
                  <c:v>0.0171804077406688</c:v>
                </c:pt>
                <c:pt idx="17">
                  <c:v>0.0158708059037313</c:v>
                </c:pt>
                <c:pt idx="18">
                  <c:v>0.01713032633102</c:v>
                </c:pt>
                <c:pt idx="19">
                  <c:v>0.0162692855035083</c:v>
                </c:pt>
                <c:pt idx="20">
                  <c:v>0.0161159805789448</c:v>
                </c:pt>
                <c:pt idx="21">
                  <c:v>0.0156378379163876</c:v>
                </c:pt>
                <c:pt idx="22">
                  <c:v>0.0147354757929713</c:v>
                </c:pt>
                <c:pt idx="23">
                  <c:v>0.0160620809783463</c:v>
                </c:pt>
              </c:numCache>
            </c:numRef>
          </c:yVal>
          <c:smooth val="0"/>
        </c:ser>
        <c:axId val="83350998"/>
        <c:axId val="88851163"/>
      </c:scatterChart>
      <c:valAx>
        <c:axId val="83350998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88851163"/>
        <c:crosses val="autoZero"/>
        <c:crossBetween val="midCat"/>
      </c:valAx>
      <c:valAx>
        <c:axId val="8885116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8335099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400" strike="noStrike" u="none">
                <a:solidFill>
                  <a:srgbClr val="595959"/>
                </a:solidFill>
                <a:uFillTx/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5608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556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156082"/>
                </a:solidFill>
                <a:prstDash val="sysDot"/>
                <a:round/>
              </a:ln>
            </c:spPr>
            <c:trendlineType val="power"/>
            <c:forward val="0"/>
            <c:backward val="0"/>
            <c:dispRSqr val="0"/>
            <c:dispEq val="0"/>
          </c:trendline>
          <c:xVal>
            <c:numRef>
              <c:f>eff_mrbig!$I$25:$I$30</c:f>
              <c:numCache>
                <c:formatCode>0.00</c:formatCode>
                <c:ptCount val="6"/>
                <c:pt idx="0">
                  <c:v>121.78</c:v>
                </c:pt>
                <c:pt idx="1">
                  <c:v>244.7</c:v>
                </c:pt>
                <c:pt idx="2">
                  <c:v>344.28</c:v>
                </c:pt>
                <c:pt idx="3">
                  <c:v>661.6</c:v>
                </c:pt>
                <c:pt idx="4">
                  <c:v>1173.228</c:v>
                </c:pt>
                <c:pt idx="5">
                  <c:v>1332.492</c:v>
                </c:pt>
              </c:numCache>
            </c:numRef>
          </c:xVal>
          <c:yVal>
            <c:numRef>
              <c:f>eff_mrbig!$N$25:$N$30</c:f>
              <c:numCache>
                <c:formatCode>0.00</c:formatCode>
                <c:ptCount val="6"/>
                <c:pt idx="0">
                  <c:v>8.90513298617056</c:v>
                </c:pt>
                <c:pt idx="1">
                  <c:v>6.03683866061192</c:v>
                </c:pt>
                <c:pt idx="2">
                  <c:v>6.11822015922477</c:v>
                </c:pt>
                <c:pt idx="3">
                  <c:v>3.9323117702528</c:v>
                </c:pt>
                <c:pt idx="4">
                  <c:v>2.31164908572314</c:v>
                </c:pt>
                <c:pt idx="5">
                  <c:v>2.21968144186194</c:v>
                </c:pt>
              </c:numCache>
            </c:numRef>
          </c:yVal>
          <c:smooth val="0"/>
        </c:ser>
        <c:axId val="21371137"/>
        <c:axId val="29416521"/>
      </c:scatterChart>
      <c:valAx>
        <c:axId val="21371137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29416521"/>
        <c:crosses val="autoZero"/>
        <c:crossBetween val="midCat"/>
      </c:valAx>
      <c:valAx>
        <c:axId val="2941652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21371137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400" strike="noStrike" u="none">
                <a:solidFill>
                  <a:srgbClr val="595959"/>
                </a:solidFill>
                <a:uFillTx/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5608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556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156082"/>
                </a:solidFill>
                <a:prstDash val="sysDot"/>
                <a:round/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numRef>
              <c:f>eff_mrbig!$J$25:$J$30</c:f>
              <c:numCache>
                <c:formatCode>0.00</c:formatCode>
                <c:ptCount val="6"/>
                <c:pt idx="0">
                  <c:v>9678.28</c:v>
                </c:pt>
                <c:pt idx="1">
                  <c:v>20584.2</c:v>
                </c:pt>
                <c:pt idx="2">
                  <c:v>29361.1</c:v>
                </c:pt>
                <c:pt idx="3">
                  <c:v>56809.9</c:v>
                </c:pt>
                <c:pt idx="4">
                  <c:v>101044</c:v>
                </c:pt>
                <c:pt idx="5">
                  <c:v>114648</c:v>
                </c:pt>
              </c:numCache>
            </c:numRef>
          </c:xVal>
          <c:yVal>
            <c:numRef>
              <c:f>eff_mrbig!$I$25:$I$30</c:f>
              <c:numCache>
                <c:formatCode>0.00</c:formatCode>
                <c:ptCount val="6"/>
                <c:pt idx="0">
                  <c:v>121.78</c:v>
                </c:pt>
                <c:pt idx="1">
                  <c:v>244.7</c:v>
                </c:pt>
                <c:pt idx="2">
                  <c:v>344.28</c:v>
                </c:pt>
                <c:pt idx="3">
                  <c:v>661.6</c:v>
                </c:pt>
                <c:pt idx="4">
                  <c:v>1173.228</c:v>
                </c:pt>
                <c:pt idx="5">
                  <c:v>1332.492</c:v>
                </c:pt>
              </c:numCache>
            </c:numRef>
          </c:yVal>
          <c:smooth val="0"/>
        </c:ser>
        <c:axId val="94891175"/>
        <c:axId val="94641590"/>
      </c:scatterChart>
      <c:valAx>
        <c:axId val="94891175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94641590"/>
        <c:crosses val="autoZero"/>
        <c:crossBetween val="midCat"/>
      </c:valAx>
      <c:valAx>
        <c:axId val="9464159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9489117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595959"/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444600</xdr:colOff>
      <xdr:row>17</xdr:row>
      <xdr:rowOff>196920</xdr:rowOff>
    </xdr:from>
    <xdr:to>
      <xdr:col>21</xdr:col>
      <xdr:colOff>177480</xdr:colOff>
      <xdr:row>58</xdr:row>
      <xdr:rowOff>2520</xdr:rowOff>
    </xdr:to>
    <xdr:graphicFrame>
      <xdr:nvGraphicFramePr>
        <xdr:cNvPr id="1" name="Graphique 3"/>
        <xdr:cNvGraphicFramePr/>
      </xdr:nvGraphicFramePr>
      <xdr:xfrm>
        <a:off x="4699080" y="3942720"/>
        <a:ext cx="17814600" cy="774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99360</xdr:colOff>
      <xdr:row>15</xdr:row>
      <xdr:rowOff>82800</xdr:rowOff>
    </xdr:from>
    <xdr:to>
      <xdr:col>19</xdr:col>
      <xdr:colOff>32040</xdr:colOff>
      <xdr:row>34</xdr:row>
      <xdr:rowOff>88920</xdr:rowOff>
    </xdr:to>
    <xdr:graphicFrame>
      <xdr:nvGraphicFramePr>
        <xdr:cNvPr id="2" name="Graphique 1"/>
        <xdr:cNvGraphicFramePr/>
      </xdr:nvGraphicFramePr>
      <xdr:xfrm>
        <a:off x="13332600" y="3387960"/>
        <a:ext cx="7378200" cy="4192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108000</xdr:colOff>
      <xdr:row>3</xdr:row>
      <xdr:rowOff>120600</xdr:rowOff>
    </xdr:from>
    <xdr:to>
      <xdr:col>28</xdr:col>
      <xdr:colOff>63360</xdr:colOff>
      <xdr:row>35</xdr:row>
      <xdr:rowOff>190080</xdr:rowOff>
    </xdr:to>
    <xdr:graphicFrame>
      <xdr:nvGraphicFramePr>
        <xdr:cNvPr id="3" name="Graphique 1"/>
        <xdr:cNvGraphicFramePr/>
      </xdr:nvGraphicFramePr>
      <xdr:xfrm>
        <a:off x="17745120" y="781560"/>
        <a:ext cx="13782600" cy="7120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476280</xdr:colOff>
      <xdr:row>34</xdr:row>
      <xdr:rowOff>0</xdr:rowOff>
    </xdr:from>
    <xdr:to>
      <xdr:col>13</xdr:col>
      <xdr:colOff>126720</xdr:colOff>
      <xdr:row>65</xdr:row>
      <xdr:rowOff>25200</xdr:rowOff>
    </xdr:to>
    <xdr:graphicFrame>
      <xdr:nvGraphicFramePr>
        <xdr:cNvPr id="4" name="Graphique 2"/>
        <xdr:cNvGraphicFramePr/>
      </xdr:nvGraphicFramePr>
      <xdr:xfrm>
        <a:off x="5794560" y="7491600"/>
        <a:ext cx="9813600" cy="5527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9" activeCellId="0" sqref="C39"/>
    </sheetView>
  </sheetViews>
  <sheetFormatPr defaultColWidth="10.46875" defaultRowHeight="12.8" customHeight="true" zeroHeight="false" outlineLevelRow="0" outlineLevelCol="0"/>
  <sheetData>
    <row r="1" customFormat="false" ht="17.35" hidden="false" customHeight="false" outlineLevel="0" collapsed="false">
      <c r="A1" s="0" t="n">
        <v>151</v>
      </c>
    </row>
    <row r="2" customFormat="false" ht="17.35" hidden="false" customHeight="false" outlineLevel="0" collapsed="false">
      <c r="A2" s="0" t="n">
        <v>152</v>
      </c>
    </row>
    <row r="3" customFormat="false" ht="17.35" hidden="false" customHeight="false" outlineLevel="0" collapsed="false">
      <c r="A3" s="0" t="n">
        <v>155</v>
      </c>
    </row>
    <row r="4" customFormat="false" ht="17.35" hidden="false" customHeight="false" outlineLevel="0" collapsed="false">
      <c r="A4" s="0" t="n">
        <v>157</v>
      </c>
    </row>
    <row r="5" customFormat="false" ht="17.35" hidden="false" customHeight="false" outlineLevel="0" collapsed="false">
      <c r="A5" s="0" t="n">
        <v>160</v>
      </c>
    </row>
    <row r="6" customFormat="false" ht="17.35" hidden="false" customHeight="false" outlineLevel="0" collapsed="false">
      <c r="A6" s="0" t="n">
        <v>162</v>
      </c>
    </row>
    <row r="7" customFormat="false" ht="17.35" hidden="false" customHeight="false" outlineLevel="0" collapsed="false">
      <c r="A7" s="0" t="n">
        <v>163</v>
      </c>
    </row>
    <row r="8" customFormat="false" ht="17.35" hidden="false" customHeight="false" outlineLevel="0" collapsed="false">
      <c r="A8" s="0" t="n">
        <v>152</v>
      </c>
    </row>
    <row r="9" customFormat="false" ht="17.35" hidden="false" customHeight="false" outlineLevel="0" collapsed="false">
      <c r="A9" s="0" t="n">
        <v>152</v>
      </c>
    </row>
    <row r="10" customFormat="false" ht="17.35" hidden="false" customHeight="false" outlineLevel="0" collapsed="false">
      <c r="A10" s="0" t="n">
        <v>154</v>
      </c>
    </row>
    <row r="11" customFormat="false" ht="17.35" hidden="false" customHeight="false" outlineLevel="0" collapsed="false">
      <c r="A11" s="0" t="n">
        <v>156</v>
      </c>
    </row>
    <row r="12" customFormat="false" ht="17.35" hidden="false" customHeight="false" outlineLevel="0" collapsed="false">
      <c r="A12" s="0" t="n">
        <v>157</v>
      </c>
    </row>
    <row r="13" customFormat="false" ht="17.35" hidden="false" customHeight="false" outlineLevel="0" collapsed="false">
      <c r="A13" s="0" t="n">
        <v>158</v>
      </c>
    </row>
    <row r="14" customFormat="false" ht="17.35" hidden="false" customHeight="false" outlineLevel="0" collapsed="false">
      <c r="A14" s="0" t="n">
        <v>161</v>
      </c>
    </row>
    <row r="15" customFormat="false" ht="17.35" hidden="false" customHeight="false" outlineLevel="0" collapsed="false">
      <c r="A15" s="0" t="n">
        <v>152</v>
      </c>
    </row>
    <row r="16" customFormat="false" ht="17.35" hidden="false" customHeight="false" outlineLevel="0" collapsed="false">
      <c r="A16" s="0" t="n">
        <v>153</v>
      </c>
    </row>
    <row r="17" customFormat="false" ht="17.35" hidden="false" customHeight="false" outlineLevel="0" collapsed="false">
      <c r="A17" s="0" t="n">
        <v>153</v>
      </c>
    </row>
    <row r="18" customFormat="false" ht="17.35" hidden="false" customHeight="false" outlineLevel="0" collapsed="false">
      <c r="A18" s="0" t="n">
        <v>154</v>
      </c>
    </row>
    <row r="19" customFormat="false" ht="17.35" hidden="false" customHeight="false" outlineLevel="0" collapsed="false">
      <c r="A19" s="0" t="n">
        <v>155</v>
      </c>
    </row>
    <row r="20" customFormat="false" ht="17.35" hidden="false" customHeight="false" outlineLevel="0" collapsed="false">
      <c r="A20" s="0" t="n">
        <v>157</v>
      </c>
    </row>
    <row r="21" customFormat="false" ht="17.35" hidden="false" customHeight="false" outlineLevel="0" collapsed="false">
      <c r="A21" s="0" t="n">
        <v>158</v>
      </c>
    </row>
    <row r="22" customFormat="false" ht="17.35" hidden="false" customHeight="false" outlineLevel="0" collapsed="false">
      <c r="A22" s="0" t="n">
        <v>152</v>
      </c>
    </row>
    <row r="23" customFormat="false" ht="17.35" hidden="false" customHeight="false" outlineLevel="0" collapsed="false">
      <c r="A23" s="0" t="n">
        <v>152</v>
      </c>
    </row>
    <row r="24" customFormat="false" ht="17.35" hidden="false" customHeight="false" outlineLevel="0" collapsed="false">
      <c r="A24" s="0" t="n">
        <v>154</v>
      </c>
    </row>
    <row r="25" customFormat="false" ht="17.35" hidden="false" customHeight="false" outlineLevel="0" collapsed="false">
      <c r="A25" s="0" t="n">
        <v>154</v>
      </c>
    </row>
    <row r="26" customFormat="false" ht="17.35" hidden="false" customHeight="false" outlineLevel="0" collapsed="false">
      <c r="A26" s="0" t="n">
        <v>155</v>
      </c>
    </row>
    <row r="27" customFormat="false" ht="17.35" hidden="false" customHeight="false" outlineLevel="0" collapsed="false">
      <c r="A27" s="0" t="n">
        <v>153</v>
      </c>
    </row>
    <row r="28" customFormat="false" ht="17.35" hidden="false" customHeight="false" outlineLevel="0" collapsed="false">
      <c r="A28" s="0" t="n">
        <v>154</v>
      </c>
    </row>
    <row r="29" customFormat="false" ht="17.35" hidden="false" customHeight="false" outlineLevel="0" collapsed="false">
      <c r="A29" s="0" t="n">
        <v>154</v>
      </c>
    </row>
    <row r="30" customFormat="false" ht="17.35" hidden="false" customHeight="false" outlineLevel="0" collapsed="false">
      <c r="A30" s="0" t="n">
        <v>155</v>
      </c>
    </row>
    <row r="31" customFormat="false" ht="17.35" hidden="false" customHeight="false" outlineLevel="0" collapsed="false">
      <c r="A31" s="0" t="n">
        <v>156</v>
      </c>
    </row>
    <row r="32" customFormat="false" ht="17.35" hidden="false" customHeight="false" outlineLevel="0" collapsed="false">
      <c r="A32" s="0" t="n">
        <v>152</v>
      </c>
    </row>
    <row r="33" customFormat="false" ht="17.35" hidden="false" customHeight="false" outlineLevel="0" collapsed="false">
      <c r="A33" s="0" t="n">
        <v>153</v>
      </c>
    </row>
    <row r="34" customFormat="false" ht="17.35" hidden="false" customHeight="false" outlineLevel="0" collapsed="false">
      <c r="A34" s="0" t="n">
        <v>154</v>
      </c>
    </row>
    <row r="35" customFormat="false" ht="17.35" hidden="false" customHeight="false" outlineLevel="0" collapsed="false">
      <c r="A35" s="0" t="n">
        <v>156</v>
      </c>
    </row>
    <row r="36" customFormat="false" ht="17.35" hidden="false" customHeight="false" outlineLevel="0" collapsed="false">
      <c r="A36" s="0" t="n">
        <v>157</v>
      </c>
    </row>
    <row r="37" customFormat="false" ht="17.35" hidden="false" customHeight="false" outlineLevel="0" collapsed="false">
      <c r="A37" s="0" t="n">
        <v>154</v>
      </c>
    </row>
    <row r="38" customFormat="false" ht="17.35" hidden="false" customHeight="false" outlineLevel="0" collapsed="false">
      <c r="A38" s="0" t="n">
        <v>156</v>
      </c>
    </row>
    <row r="39" customFormat="false" ht="17.35" hidden="false" customHeight="false" outlineLevel="0" collapsed="false">
      <c r="A39" s="0" t="n">
        <v>158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5" activeCellId="0" sqref="M25"/>
    </sheetView>
  </sheetViews>
  <sheetFormatPr defaultColWidth="10.46875" defaultRowHeight="12.8" customHeight="true" zeroHeight="false" outlineLevelRow="0" outlineLevelCol="0"/>
  <sheetData>
    <row r="1" customFormat="false" ht="17.35" hidden="false" customHeight="false" outlineLevel="0" collapsed="false">
      <c r="A1" s="0" t="s">
        <v>0</v>
      </c>
    </row>
    <row r="2" customFormat="false" ht="17.35" hidden="false" customHeight="false" outlineLevel="0" collapsed="false"/>
    <row r="3" customFormat="false" ht="17.35" hidden="false" customHeight="false" outlineLevel="0" collapsed="false"/>
    <row r="4" customFormat="false" ht="17.35" hidden="false" customHeight="false" outlineLevel="0" collapsed="false">
      <c r="A4" s="0" t="s">
        <v>1</v>
      </c>
      <c r="B4" s="1" t="n">
        <v>2.68421</v>
      </c>
      <c r="C4" s="1" t="n">
        <v>5.22394</v>
      </c>
      <c r="D4" s="1" t="n">
        <v>5.09548</v>
      </c>
      <c r="E4" s="1" t="n">
        <v>3.76665</v>
      </c>
      <c r="F4" s="1" t="n">
        <v>2.04745</v>
      </c>
      <c r="G4" s="1" t="n">
        <v>1.42864</v>
      </c>
      <c r="H4" s="1" t="n">
        <v>-0.5904</v>
      </c>
      <c r="I4" s="1" t="n">
        <v>0.957768</v>
      </c>
      <c r="J4" s="1" t="n">
        <v>0.851153</v>
      </c>
      <c r="K4" s="1" t="n">
        <v>3.07498</v>
      </c>
      <c r="L4" s="1" t="n">
        <v>5.71368</v>
      </c>
      <c r="M4" s="1" t="n">
        <v>2.37775</v>
      </c>
      <c r="N4" s="1" t="n">
        <v>0.478214</v>
      </c>
      <c r="O4" s="1" t="n">
        <v>12.9346</v>
      </c>
      <c r="P4" s="1" t="n">
        <v>1.46798</v>
      </c>
      <c r="Q4" s="1" t="n">
        <v>1.07676</v>
      </c>
      <c r="R4" s="1" t="n">
        <v>-0.923508</v>
      </c>
      <c r="S4" s="1" t="n">
        <v>3.90135</v>
      </c>
      <c r="T4" s="1" t="n">
        <v>5.13466</v>
      </c>
      <c r="U4" s="1" t="n">
        <v>0.723473</v>
      </c>
      <c r="V4" s="1" t="n">
        <v>2.31082</v>
      </c>
      <c r="W4" s="1" t="n">
        <v>19.1092</v>
      </c>
      <c r="X4" s="1" t="n">
        <v>7.84628</v>
      </c>
      <c r="Y4" s="1" t="n">
        <v>1.55024</v>
      </c>
      <c r="Z4" s="1" t="n">
        <v>-2.29959</v>
      </c>
      <c r="AA4" s="1" t="n">
        <v>-3.79548</v>
      </c>
      <c r="AB4" s="1" t="n">
        <v>5.11174</v>
      </c>
      <c r="AC4" s="1" t="n">
        <v>1.54911</v>
      </c>
      <c r="AD4" s="1" t="n">
        <v>4.5928</v>
      </c>
      <c r="AE4" s="1" t="n">
        <v>2.98139</v>
      </c>
      <c r="AF4" s="1" t="n">
        <v>-10.7206</v>
      </c>
      <c r="AG4" s="1" t="n">
        <v>-5.91667</v>
      </c>
      <c r="AH4" s="1" t="n">
        <v>-3.37949</v>
      </c>
      <c r="AI4" s="1" t="n">
        <v>-4.29283</v>
      </c>
      <c r="AJ4" s="1" t="n">
        <v>-1.25228</v>
      </c>
      <c r="AK4" s="1" t="n">
        <v>4.4284</v>
      </c>
      <c r="AL4" s="1" t="n">
        <v>-0.426012</v>
      </c>
      <c r="AM4" s="1" t="n">
        <v>-1.19791</v>
      </c>
      <c r="AN4" s="1" t="n">
        <v>4.23968</v>
      </c>
    </row>
    <row r="5" customFormat="false" ht="17.35" hidden="false" customHeight="false" outlineLevel="0" collapsed="false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customFormat="false" ht="17.35" hidden="false" customHeight="false" outlineLevel="0" collapsed="false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customFormat="false" ht="17.35" hidden="false" customHeight="false" outlineLevel="0" collapsed="false">
      <c r="A7" s="0" t="s">
        <v>2</v>
      </c>
      <c r="B7" s="0" t="n">
        <v>27.3</v>
      </c>
      <c r="C7" s="0" t="n">
        <v>29.5</v>
      </c>
      <c r="D7" s="0" t="n">
        <v>29.4</v>
      </c>
      <c r="E7" s="0" t="n">
        <v>28.1</v>
      </c>
      <c r="F7" s="0" t="n">
        <v>26.7</v>
      </c>
      <c r="G7" s="0" t="n">
        <v>25.8</v>
      </c>
      <c r="H7" s="0" t="n">
        <v>23.7</v>
      </c>
      <c r="I7" s="0" t="n">
        <v>25.2</v>
      </c>
      <c r="J7" s="0" t="n">
        <v>25.3</v>
      </c>
      <c r="K7" s="0" t="n">
        <v>27.6</v>
      </c>
      <c r="L7" s="0" t="n">
        <v>30.4</v>
      </c>
      <c r="M7" s="0" t="n">
        <v>26.6</v>
      </c>
      <c r="N7" s="0" t="n">
        <v>24.3</v>
      </c>
      <c r="O7" s="0" t="n">
        <v>37.1</v>
      </c>
      <c r="P7" s="0" t="n">
        <v>25.8</v>
      </c>
      <c r="Q7" s="0" t="n">
        <v>25</v>
      </c>
      <c r="R7" s="0" t="n">
        <v>23.4</v>
      </c>
      <c r="S7" s="0" t="n">
        <v>28.2</v>
      </c>
      <c r="T7" s="0" t="n">
        <v>29.9</v>
      </c>
      <c r="U7" s="0" t="n">
        <v>25.1</v>
      </c>
      <c r="V7" s="0" t="n">
        <v>26.5</v>
      </c>
      <c r="W7" s="0" t="n">
        <v>43.5</v>
      </c>
      <c r="X7" s="0" t="n">
        <v>32.1</v>
      </c>
      <c r="Y7" s="0" t="n">
        <v>26</v>
      </c>
      <c r="Z7" s="0" t="n">
        <v>22.1</v>
      </c>
      <c r="AA7" s="0" t="n">
        <v>20.7</v>
      </c>
      <c r="AB7" s="0" t="n">
        <v>29.5</v>
      </c>
      <c r="AC7" s="0" t="n">
        <v>25.7</v>
      </c>
      <c r="AD7" s="0" t="n">
        <v>29.1</v>
      </c>
      <c r="AE7" s="0" t="n">
        <v>27.6</v>
      </c>
      <c r="AF7" s="0" t="n">
        <v>14</v>
      </c>
      <c r="AG7" s="0" t="n">
        <v>18.7</v>
      </c>
      <c r="AH7" s="0" t="n">
        <v>21</v>
      </c>
      <c r="AI7" s="0" t="n">
        <v>20.3</v>
      </c>
      <c r="AJ7" s="0" t="n">
        <v>23</v>
      </c>
      <c r="AK7" s="0" t="n">
        <v>29</v>
      </c>
      <c r="AL7" s="0" t="n">
        <v>24.1</v>
      </c>
      <c r="AM7" s="0" t="n">
        <v>23.3</v>
      </c>
      <c r="AN7" s="0" t="n">
        <v>29</v>
      </c>
    </row>
    <row r="8" customFormat="false" ht="17.35" hidden="false" customHeight="false" outlineLevel="0" collapsed="false"/>
    <row r="9" customFormat="false" ht="17.35" hidden="false" customHeight="false" outlineLevel="0" collapsed="false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customFormat="false" ht="17.35" hidden="false" customHeight="false" outlineLevel="0" collapsed="false"/>
    <row r="11" customFormat="false" ht="17.35" hidden="false" customHeight="false" outlineLevel="0" collapsed="false">
      <c r="A11" s="0" t="s">
        <v>3</v>
      </c>
      <c r="B11" s="0" t="n">
        <v>2.68552</v>
      </c>
      <c r="C11" s="3" t="n">
        <v>5.241</v>
      </c>
      <c r="D11" s="3" t="n">
        <v>5.06835</v>
      </c>
      <c r="E11" s="3" t="n">
        <v>3.73247</v>
      </c>
      <c r="F11" s="3" t="n">
        <v>1.96254</v>
      </c>
      <c r="G11" s="3" t="n">
        <v>1.28285</v>
      </c>
      <c r="H11" s="3" t="n">
        <v>-0.622969</v>
      </c>
      <c r="I11" s="3" t="n">
        <v>0.665302</v>
      </c>
      <c r="J11" s="3" t="n">
        <v>0.626229</v>
      </c>
      <c r="K11" s="3" t="n">
        <v>3.03628</v>
      </c>
      <c r="L11" s="3" t="n">
        <v>5.67668</v>
      </c>
      <c r="M11" s="3" t="n">
        <v>2.3431</v>
      </c>
      <c r="N11" s="3" t="s">
        <v>4</v>
      </c>
      <c r="O11" s="3" t="n">
        <v>12.9122</v>
      </c>
      <c r="P11" s="3" t="n">
        <v>1.31232</v>
      </c>
      <c r="Q11" s="3" t="n">
        <v>0.788829</v>
      </c>
      <c r="R11" s="3" t="n">
        <v>-0.932808</v>
      </c>
      <c r="S11" s="3" t="n">
        <v>3.86213</v>
      </c>
      <c r="T11" s="3" t="n">
        <v>5.08842</v>
      </c>
      <c r="U11" s="3" t="n">
        <v>0.407243</v>
      </c>
      <c r="V11" s="3" t="n">
        <v>2.24909</v>
      </c>
      <c r="W11" s="3" t="n">
        <v>19.0685</v>
      </c>
      <c r="X11" s="3" t="n">
        <v>7.79083</v>
      </c>
      <c r="Y11" s="3" t="n">
        <v>1.36452</v>
      </c>
      <c r="Z11" s="3" t="n">
        <v>-2.31159</v>
      </c>
      <c r="AA11" s="3" t="n">
        <v>-3.81558</v>
      </c>
      <c r="AB11" s="3" t="n">
        <v>5.06251</v>
      </c>
      <c r="AC11" s="3" t="n">
        <v>1.41587</v>
      </c>
      <c r="AD11" s="3" t="n">
        <v>4.54087</v>
      </c>
      <c r="AE11" s="3" t="n">
        <v>3.01263</v>
      </c>
      <c r="AF11" s="3" t="n">
        <v>-10.7251</v>
      </c>
      <c r="AG11" s="3" t="n">
        <v>-5.92087</v>
      </c>
      <c r="AH11" s="3" t="n">
        <v>-3.38479</v>
      </c>
      <c r="AI11" s="3" t="n">
        <v>-4.29565</v>
      </c>
      <c r="AJ11" s="3" t="n">
        <v>-1.28501</v>
      </c>
      <c r="AK11" s="3" t="n">
        <v>4.43648</v>
      </c>
      <c r="AL11" s="3" t="n">
        <v>-0.442536</v>
      </c>
      <c r="AM11" s="3" t="n">
        <v>-1.18371</v>
      </c>
      <c r="AN11" s="3" t="n">
        <v>4.16247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0"/>
  <sheetViews>
    <sheetView showFormulas="false" showGridLines="tru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K45" activeCellId="0" sqref="K45"/>
    </sheetView>
  </sheetViews>
  <sheetFormatPr defaultColWidth="10.46875" defaultRowHeight="12.8" customHeight="true" zeroHeight="false" outlineLevelRow="0" outlineLevelCol="0"/>
  <cols>
    <col collapsed="false" customWidth="true" hidden="false" outlineLevel="0" max="2" min="1" style="0" width="11.87"/>
    <col collapsed="false" customWidth="true" hidden="false" outlineLevel="0" max="4" min="4" style="0" width="11.87"/>
    <col collapsed="false" customWidth="true" hidden="false" outlineLevel="0" max="12" min="12" style="0" width="10.87"/>
  </cols>
  <sheetData>
    <row r="1" customFormat="false" ht="17.35" hidden="false" customHeight="false" outlineLevel="0" collapsed="false">
      <c r="A1" s="0" t="s">
        <v>5</v>
      </c>
      <c r="B1" s="0" t="s">
        <v>6</v>
      </c>
      <c r="D1" s="0" t="s">
        <v>7</v>
      </c>
      <c r="E1" s="0" t="n">
        <v>7260</v>
      </c>
      <c r="G1" s="0" t="s">
        <v>8</v>
      </c>
      <c r="H1" s="0" t="n">
        <v>37000</v>
      </c>
      <c r="N1" s="4"/>
    </row>
    <row r="2" customFormat="false" ht="17.35" hidden="false" customHeight="false" outlineLevel="0" collapsed="false">
      <c r="A2" s="0" t="s">
        <v>9</v>
      </c>
      <c r="B2" s="0" t="s">
        <v>10</v>
      </c>
      <c r="G2" s="0" t="s">
        <v>11</v>
      </c>
      <c r="H2" s="0" t="n">
        <v>83412720</v>
      </c>
      <c r="P2" s="4"/>
    </row>
    <row r="3" customFormat="false" ht="17.35" hidden="false" customHeight="false" outlineLevel="0" collapsed="false">
      <c r="L3" s="2"/>
      <c r="N3" s="2"/>
      <c r="O3" s="2"/>
      <c r="P3" s="2"/>
      <c r="Q3" s="2"/>
    </row>
    <row r="4" customFormat="false" ht="17.35" hidden="false" customHeight="false" outlineLevel="0" collapsed="false">
      <c r="A4" s="0" t="s">
        <v>12</v>
      </c>
      <c r="B4" s="0" t="n">
        <v>95558400</v>
      </c>
      <c r="L4" s="2"/>
      <c r="N4" s="2"/>
      <c r="O4" s="2"/>
      <c r="P4" s="2"/>
      <c r="Q4" s="2"/>
    </row>
    <row r="5" customFormat="false" ht="17.35" hidden="false" customHeight="false" outlineLevel="0" collapsed="false">
      <c r="L5" s="2"/>
      <c r="N5" s="2"/>
      <c r="O5" s="2"/>
      <c r="P5" s="2"/>
      <c r="Q5" s="2"/>
    </row>
    <row r="6" customFormat="false" ht="17.35" hidden="false" customHeight="false" outlineLevel="0" collapsed="false">
      <c r="L6" s="2"/>
      <c r="N6" s="2"/>
      <c r="O6" s="2"/>
      <c r="P6" s="2"/>
      <c r="Q6" s="2"/>
    </row>
    <row r="7" customFormat="false" ht="17.35" hidden="false" customHeight="false" outlineLevel="0" collapsed="false">
      <c r="L7" s="2"/>
      <c r="N7" s="2"/>
      <c r="O7" s="2"/>
      <c r="P7" s="2"/>
      <c r="Q7" s="2"/>
    </row>
    <row r="8" customFormat="false" ht="17.35" hidden="false" customHeight="false" outlineLevel="0" collapsed="false">
      <c r="A8" s="0" t="s">
        <v>13</v>
      </c>
      <c r="B8" s="0" t="n">
        <f aca="false">H1*EXP((-LN(2)/H2)*B4)</f>
        <v>16723.9521895749</v>
      </c>
    </row>
    <row r="9" customFormat="false" ht="17.35" hidden="false" customHeight="false" outlineLevel="0" collapsed="false">
      <c r="A9" s="0" t="s">
        <v>14</v>
      </c>
      <c r="B9" s="0" t="n">
        <f aca="false">B8*E1*3.7*0.0309</f>
        <v>13881479.0348355</v>
      </c>
    </row>
    <row r="10" customFormat="false" ht="17.35" hidden="false" customHeight="false" outlineLevel="0" collapsed="false"/>
    <row r="11" customFormat="false" ht="17.35" hidden="false" customHeight="false" outlineLevel="0" collapsed="false"/>
    <row r="12" customFormat="false" ht="17.35" hidden="false" customHeight="false" outlineLevel="0" collapsed="false">
      <c r="A12" s="0" t="s">
        <v>15</v>
      </c>
      <c r="B12" s="0" t="s">
        <v>16</v>
      </c>
      <c r="C12" s="0" t="s">
        <v>17</v>
      </c>
      <c r="D12" s="0" t="s">
        <v>18</v>
      </c>
      <c r="E12" s="0" t="s">
        <v>19</v>
      </c>
      <c r="F12" s="0" t="s">
        <v>20</v>
      </c>
      <c r="G12" s="0" t="s">
        <v>21</v>
      </c>
      <c r="H12" s="0" t="s">
        <v>22</v>
      </c>
      <c r="I12" s="0" t="s">
        <v>23</v>
      </c>
      <c r="J12" s="0" t="s">
        <v>24</v>
      </c>
      <c r="K12" s="0" t="s">
        <v>25</v>
      </c>
    </row>
    <row r="13" customFormat="false" ht="17.35" hidden="false" customHeight="false" outlineLevel="0" collapsed="false">
      <c r="A13" s="0" t="n">
        <v>0</v>
      </c>
      <c r="B13" s="0" t="n">
        <v>0</v>
      </c>
      <c r="C13" s="0" t="n">
        <f aca="false">$B$9*B13</f>
        <v>0</v>
      </c>
      <c r="D13" s="0" t="n">
        <f aca="false">0.3*C13</f>
        <v>0</v>
      </c>
      <c r="E13" s="0" t="n">
        <v>0</v>
      </c>
      <c r="F13" s="0" t="n">
        <f aca="false">SQRT(E13)</f>
        <v>0</v>
      </c>
      <c r="G13" s="0" t="n">
        <v>0</v>
      </c>
      <c r="H13" s="0" t="n">
        <v>0</v>
      </c>
      <c r="I13" s="0" t="n">
        <v>0</v>
      </c>
      <c r="J13" s="0" t="n">
        <f aca="false">SQRT(H13+I13)</f>
        <v>0</v>
      </c>
      <c r="K13" s="0" t="n">
        <f aca="false">0.05*G13</f>
        <v>0</v>
      </c>
    </row>
    <row r="14" customFormat="false" ht="17.35" hidden="false" customHeight="false" outlineLevel="0" collapsed="false">
      <c r="A14" s="0" t="n">
        <v>0.4</v>
      </c>
      <c r="B14" s="3" t="n">
        <v>0.30996667</v>
      </c>
      <c r="C14" s="0" t="n">
        <f aca="false">$B$9*B14</f>
        <v>4302795.83110277</v>
      </c>
      <c r="D14" s="0" t="n">
        <f aca="false">0.3*C14</f>
        <v>1290838.74933083</v>
      </c>
      <c r="E14" s="0" t="n">
        <v>3239</v>
      </c>
      <c r="F14" s="0" t="n">
        <f aca="false">SQRT(E14)</f>
        <v>56.9122131005288</v>
      </c>
      <c r="G14" s="0" t="n">
        <f aca="false">E14/C14/0.03</f>
        <v>0.0250922123439437</v>
      </c>
      <c r="H14" s="0" t="n">
        <f aca="false">(F14/C14)^2</f>
        <v>1.74948196444028E-010</v>
      </c>
      <c r="I14" s="0" t="n">
        <f aca="false">(E14*D14/(C14^2))^2</f>
        <v>5.09991487453986E-008</v>
      </c>
      <c r="J14" s="0" t="n">
        <f aca="false">SQRT(H14+I14)</f>
        <v>0.000226216924525648</v>
      </c>
      <c r="K14" s="0" t="n">
        <f aca="false">0.1*G14</f>
        <v>0.00250922123439437</v>
      </c>
    </row>
    <row r="15" customFormat="false" ht="17.35" hidden="false" customHeight="false" outlineLevel="0" collapsed="false">
      <c r="A15" s="0" t="n">
        <v>0.6</v>
      </c>
      <c r="B15" s="3" t="n">
        <v>0.3329</v>
      </c>
      <c r="C15" s="0" t="n">
        <f aca="false">$B$9*B15</f>
        <v>4621144.37069674</v>
      </c>
      <c r="D15" s="0" t="n">
        <f aca="false">0.3*C15</f>
        <v>1386343.31120902</v>
      </c>
      <c r="E15" s="0" t="n">
        <v>4043</v>
      </c>
      <c r="F15" s="0" t="n">
        <f aca="false">SQRT(E15)</f>
        <v>63.5845893279181</v>
      </c>
      <c r="G15" s="0" t="n">
        <f aca="false">E15/C15/0.03</f>
        <v>0.0291630505035158</v>
      </c>
      <c r="H15" s="0" t="n">
        <f aca="false">(F15/C15)^2</f>
        <v>1.8932356250397E-010</v>
      </c>
      <c r="I15" s="0" t="n">
        <f aca="false">(E15*D15/(C15^2))^2</f>
        <v>6.88891646883196E-008</v>
      </c>
      <c r="J15" s="0" t="n">
        <f aca="false">SQRT(H15+I15)</f>
        <v>0.000262827868101584</v>
      </c>
      <c r="K15" s="0" t="n">
        <f aca="false">0.1*G15</f>
        <v>0.00291630505035158</v>
      </c>
    </row>
    <row r="16" customFormat="false" ht="17.35" hidden="false" customHeight="false" outlineLevel="0" collapsed="false">
      <c r="A16" s="0" t="n">
        <f aca="false">A15+0.2</f>
        <v>0.8</v>
      </c>
      <c r="B16" s="3" t="n">
        <v>0.33556667</v>
      </c>
      <c r="C16" s="0" t="n">
        <f aca="false">$B$9*B16</f>
        <v>4658161.69439456</v>
      </c>
      <c r="D16" s="0" t="n">
        <f aca="false">0.3*C16</f>
        <v>1397448.50831837</v>
      </c>
      <c r="E16" s="0" t="n">
        <v>4012</v>
      </c>
      <c r="F16" s="0" t="n">
        <f aca="false">SQRT(E16)</f>
        <v>63.3403504884525</v>
      </c>
      <c r="G16" s="0" t="n">
        <f aca="false">E16/C16/0.03</f>
        <v>0.028709465687776</v>
      </c>
      <c r="H16" s="0" t="n">
        <f aca="false">(F16/C16)^2</f>
        <v>1.84897826039339E-010</v>
      </c>
      <c r="I16" s="0" t="n">
        <f aca="false">(E16*D16/(C16^2))^2</f>
        <v>6.67629070262847E-008</v>
      </c>
      <c r="J16" s="0" t="n">
        <f aca="false">SQRT(H16+I16)</f>
        <v>0.000258742738743185</v>
      </c>
      <c r="K16" s="0" t="n">
        <f aca="false">0.1*G16</f>
        <v>0.0028709465687776</v>
      </c>
    </row>
    <row r="17" customFormat="false" ht="17.35" hidden="false" customHeight="false" outlineLevel="0" collapsed="false">
      <c r="A17" s="0" t="n">
        <f aca="false">A16+0.2</f>
        <v>1</v>
      </c>
      <c r="B17" s="3" t="n">
        <v>0.3289</v>
      </c>
      <c r="C17" s="0" t="n">
        <f aca="false">$B$9*B17</f>
        <v>4565618.4545574</v>
      </c>
      <c r="D17" s="0" t="n">
        <f aca="false">0.3*C17</f>
        <v>1369685.53636722</v>
      </c>
      <c r="E17" s="0" t="n">
        <v>3700</v>
      </c>
      <c r="F17" s="0" t="n">
        <f aca="false">SQRT(E17)</f>
        <v>60.8276253029822</v>
      </c>
      <c r="G17" s="0" t="n">
        <f aca="false">E17/C17/0.03</f>
        <v>0.0270134998272188</v>
      </c>
      <c r="H17" s="0" t="n">
        <f aca="false">(F17/C17)^2</f>
        <v>1.77501690709091E-010</v>
      </c>
      <c r="I17" s="0" t="n">
        <f aca="false">(E17*D17/(C17^2))^2</f>
        <v>5.91080630061273E-008</v>
      </c>
      <c r="J17" s="0" t="n">
        <f aca="false">SQRT(H17+I17)</f>
        <v>0.000243486272091131</v>
      </c>
      <c r="K17" s="0" t="n">
        <f aca="false">0.1*G17</f>
        <v>0.00270134998272188</v>
      </c>
    </row>
    <row r="18" customFormat="false" ht="17.35" hidden="false" customHeight="false" outlineLevel="0" collapsed="false">
      <c r="A18" s="0" t="n">
        <f aca="false">A17+0.2</f>
        <v>1.2</v>
      </c>
      <c r="B18" s="3" t="n">
        <v>0.3152</v>
      </c>
      <c r="C18" s="0" t="n">
        <f aca="false">$B$9*B18</f>
        <v>4375442.19178015</v>
      </c>
      <c r="D18" s="0" t="n">
        <f aca="false">0.3*C18</f>
        <v>1312632.65753405</v>
      </c>
      <c r="E18" s="0" t="n">
        <v>3412</v>
      </c>
      <c r="F18" s="0" t="n">
        <f aca="false">SQRT(E18)</f>
        <v>58.4123274660409</v>
      </c>
      <c r="G18" s="0" t="n">
        <f aca="false">E18/C18/0.03</f>
        <v>0.0259935632441897</v>
      </c>
      <c r="H18" s="0" t="n">
        <f aca="false">(F18/C18)^2</f>
        <v>1.78223563047105E-010</v>
      </c>
      <c r="I18" s="0" t="n">
        <f aca="false">(E18*D18/(C18^2))^2</f>
        <v>5.47288917405049E-008</v>
      </c>
      <c r="J18" s="0" t="n">
        <f aca="false">SQRT(H18+I18)</f>
        <v>0.000234322673473038</v>
      </c>
      <c r="K18" s="0" t="n">
        <f aca="false">0.1*G18</f>
        <v>0.00259935632441897</v>
      </c>
    </row>
    <row r="19" customFormat="false" ht="17.35" hidden="false" customHeight="false" outlineLevel="0" collapsed="false">
      <c r="A19" s="0" t="n">
        <f aca="false">A18+0.2</f>
        <v>1.4</v>
      </c>
      <c r="B19" s="3" t="n">
        <v>0.29673333</v>
      </c>
      <c r="C19" s="0" t="n">
        <f aca="false">$B$9*B19</f>
        <v>4119097.49933192</v>
      </c>
      <c r="D19" s="0" t="n">
        <f aca="false">0.3*C19</f>
        <v>1235729.24979958</v>
      </c>
      <c r="E19" s="0" t="n">
        <v>2958</v>
      </c>
      <c r="F19" s="0" t="n">
        <f aca="false">SQRT(E19)</f>
        <v>54.3874985635486</v>
      </c>
      <c r="G19" s="0" t="n">
        <f aca="false">E19/C19/0.03</f>
        <v>0.023937282381879</v>
      </c>
      <c r="H19" s="0" t="n">
        <f aca="false">(F19/C19)^2</f>
        <v>1.74338789400552E-010</v>
      </c>
      <c r="I19" s="0" t="n">
        <f aca="false">(E19*D19/(C19^2))^2</f>
        <v>4.64124725142151E-008</v>
      </c>
      <c r="J19" s="0" t="n">
        <f aca="false">SQRT(H19+I19)</f>
        <v>0.000215839781559414</v>
      </c>
      <c r="K19" s="0" t="n">
        <f aca="false">0.1*G19</f>
        <v>0.0023937282381879</v>
      </c>
      <c r="L19" s="2"/>
      <c r="M19" s="2"/>
    </row>
    <row r="20" customFormat="false" ht="17.35" hidden="false" customHeight="false" outlineLevel="0" collapsed="false">
      <c r="A20" s="0" t="n">
        <f aca="false">A19+0.2</f>
        <v>1.6</v>
      </c>
      <c r="B20" s="3" t="n">
        <v>0.27704</v>
      </c>
      <c r="C20" s="0" t="n">
        <f aca="false">$B$9*B20</f>
        <v>3845724.95181083</v>
      </c>
      <c r="D20" s="0" t="n">
        <f aca="false">0.3*C20</f>
        <v>1153717.48554325</v>
      </c>
      <c r="E20" s="0" t="n">
        <v>2666</v>
      </c>
      <c r="F20" s="0" t="n">
        <f aca="false">SQRT(E20)</f>
        <v>51.6333225737023</v>
      </c>
      <c r="G20" s="0" t="n">
        <f aca="false">E20/C20/0.03</f>
        <v>0.0231079101548389</v>
      </c>
      <c r="H20" s="0" t="n">
        <f aca="false">(F20/C20)^2</f>
        <v>1.8026180065705E-010</v>
      </c>
      <c r="I20" s="0" t="n">
        <f aca="false">(E20*D20/(C20^2))^2</f>
        <v>4.32520164496526E-008</v>
      </c>
      <c r="J20" s="0" t="n">
        <f aca="false">SQRT(H20+I20)</f>
        <v>0.000208404122440775</v>
      </c>
      <c r="K20" s="0" t="n">
        <f aca="false">0.1*G20</f>
        <v>0.00231079101548389</v>
      </c>
      <c r="L20" s="2"/>
      <c r="M20" s="2"/>
    </row>
    <row r="21" customFormat="false" ht="17.35" hidden="false" customHeight="false" outlineLevel="0" collapsed="false">
      <c r="A21" s="0" t="n">
        <f aca="false">A20+0.2</f>
        <v>1.8</v>
      </c>
      <c r="B21" s="3" t="n">
        <v>0.25612</v>
      </c>
      <c r="C21" s="0" t="n">
        <f aca="false">$B$9*B21</f>
        <v>3555324.41040207</v>
      </c>
      <c r="D21" s="0" t="n">
        <f aca="false">0.3*C21</f>
        <v>1066597.32312062</v>
      </c>
      <c r="E21" s="0" t="n">
        <v>2365</v>
      </c>
      <c r="F21" s="0" t="n">
        <f aca="false">SQRT(E21)</f>
        <v>48.6312656631513</v>
      </c>
      <c r="G21" s="0" t="n">
        <f aca="false">E21/C21/0.03</f>
        <v>0.0221733164778677</v>
      </c>
      <c r="H21" s="0" t="n">
        <f aca="false">(F21/C21)^2</f>
        <v>1.87099521042245E-010</v>
      </c>
      <c r="I21" s="0" t="n">
        <f aca="false">(E21*D21/(C21^2))^2</f>
        <v>3.98241330538419E-008</v>
      </c>
      <c r="J21" s="0" t="n">
        <f aca="false">SQRT(H21+I21)</f>
        <v>0.000200028079466069</v>
      </c>
      <c r="K21" s="0" t="n">
        <f aca="false">0.1*G21</f>
        <v>0.00221733164778677</v>
      </c>
      <c r="L21" s="2"/>
      <c r="M21" s="2"/>
    </row>
    <row r="22" customFormat="false" ht="17.35" hidden="false" customHeight="false" outlineLevel="0" collapsed="false">
      <c r="A22" s="0" t="n">
        <f aca="false">A21+0.2</f>
        <v>2</v>
      </c>
      <c r="B22" s="3" t="n">
        <v>0.2352</v>
      </c>
      <c r="C22" s="0" t="n">
        <f aca="false">$B$9*B22</f>
        <v>3264923.86899331</v>
      </c>
      <c r="D22" s="0" t="n">
        <f aca="false">0.3*C22</f>
        <v>979477.160697993</v>
      </c>
      <c r="E22" s="0" t="n">
        <v>2146</v>
      </c>
      <c r="F22" s="0" t="n">
        <f aca="false">SQRT(E22)</f>
        <v>46.3249392876019</v>
      </c>
      <c r="G22" s="0" t="n">
        <f aca="false">E22/C22/0.03</f>
        <v>0.0219096481889452</v>
      </c>
      <c r="H22" s="0" t="n">
        <f aca="false">(F22/C22)^2</f>
        <v>2.01318460105786E-010</v>
      </c>
      <c r="I22" s="0" t="n">
        <f aca="false">(E22*D22/(C22^2))^2</f>
        <v>3.88826473848315E-008</v>
      </c>
      <c r="J22" s="0" t="n">
        <f aca="false">SQRT(H22+I22)</f>
        <v>0.000197696651071629</v>
      </c>
      <c r="K22" s="0" t="n">
        <f aca="false">0.1*G22</f>
        <v>0.00219096481889452</v>
      </c>
      <c r="L22" s="2"/>
      <c r="M22" s="2"/>
    </row>
    <row r="23" customFormat="false" ht="17.35" hidden="false" customHeight="false" outlineLevel="0" collapsed="false">
      <c r="A23" s="0" t="n">
        <f aca="false">A22+0.2</f>
        <v>2.2</v>
      </c>
      <c r="B23" s="3" t="n">
        <v>0.2151</v>
      </c>
      <c r="C23" s="0" t="n">
        <f aca="false">$B$9*B23</f>
        <v>2985906.14039312</v>
      </c>
      <c r="D23" s="0" t="n">
        <f aca="false">0.3*C23</f>
        <v>895771.842117935</v>
      </c>
      <c r="E23" s="0" t="n">
        <v>1771</v>
      </c>
      <c r="F23" s="0" t="n">
        <f aca="false">SQRT(E23)</f>
        <v>42.0832508250016</v>
      </c>
      <c r="G23" s="0" t="n">
        <f aca="false">E23/C23/0.03</f>
        <v>0.0197706594104667</v>
      </c>
      <c r="H23" s="0" t="n">
        <f aca="false">(F23/C23)^2</f>
        <v>1.9863979456364E-010</v>
      </c>
      <c r="I23" s="0" t="n">
        <f aca="false">(E23*D23/(C23^2))^2</f>
        <v>3.16611968554986E-008</v>
      </c>
      <c r="J23" s="0" t="n">
        <f aca="false">SQRT(H23+I23)</f>
        <v>0.000178493239788128</v>
      </c>
      <c r="K23" s="0" t="n">
        <f aca="false">0.1*G23</f>
        <v>0.00197706594104667</v>
      </c>
      <c r="L23" s="2"/>
      <c r="M23" s="2"/>
    </row>
    <row r="24" customFormat="false" ht="17.35" hidden="false" customHeight="false" outlineLevel="0" collapsed="false">
      <c r="A24" s="0" t="n">
        <f aca="false">A23+0.2</f>
        <v>2.4</v>
      </c>
      <c r="B24" s="3" t="n">
        <v>0.195</v>
      </c>
      <c r="C24" s="0" t="n">
        <f aca="false">$B$9*B24</f>
        <v>2706888.41179292</v>
      </c>
      <c r="D24" s="0" t="n">
        <f aca="false">0.3*C24</f>
        <v>812066.523537877</v>
      </c>
      <c r="E24" s="0" t="n">
        <v>1564</v>
      </c>
      <c r="F24" s="0" t="n">
        <f aca="false">SQRT(E24)</f>
        <v>39.5474398665704</v>
      </c>
      <c r="G24" s="0" t="n">
        <f aca="false">E24/C24/0.03</f>
        <v>0.0192595058984358</v>
      </c>
      <c r="H24" s="0" t="n">
        <f aca="false">(F24/C24)^2</f>
        <v>2.13449942907094E-010</v>
      </c>
      <c r="I24" s="0" t="n">
        <f aca="false">(E24*D24/(C24^2))^2</f>
        <v>3.00452139636026E-008</v>
      </c>
      <c r="J24" s="0" t="n">
        <f aca="false">SQRT(H24+I24)</f>
        <v>0.000173950176506118</v>
      </c>
      <c r="K24" s="0" t="n">
        <f aca="false">0.1*G24</f>
        <v>0.00192595058984358</v>
      </c>
      <c r="L24" s="2"/>
      <c r="M24" s="2"/>
    </row>
    <row r="25" customFormat="false" ht="17.35" hidden="false" customHeight="false" outlineLevel="0" collapsed="false">
      <c r="A25" s="0" t="n">
        <f aca="false">A24+0.2</f>
        <v>2.6</v>
      </c>
      <c r="B25" s="3" t="n">
        <v>0.1768</v>
      </c>
      <c r="C25" s="0" t="n">
        <f aca="false">$B$9*B25</f>
        <v>2454245.49335892</v>
      </c>
      <c r="D25" s="0" t="n">
        <f aca="false">0.3*C25</f>
        <v>736273.648007675</v>
      </c>
      <c r="E25" s="0" t="n">
        <v>1366</v>
      </c>
      <c r="F25" s="0" t="n">
        <f aca="false">SQRT(E25)</f>
        <v>36.9594372251527</v>
      </c>
      <c r="G25" s="0" t="n">
        <f aca="false">E25/C25/0.03</f>
        <v>0.0185528845653561</v>
      </c>
      <c r="H25" s="0" t="n">
        <f aca="false">(F25/C25)^2</f>
        <v>2.26785192625099E-010</v>
      </c>
      <c r="I25" s="0" t="n">
        <f aca="false">(E25*D25/(C25^2))^2</f>
        <v>2.78809715813296E-008</v>
      </c>
      <c r="J25" s="0" t="n">
        <f aca="false">SQRT(H25+I25)</f>
        <v>0.000167653681062942</v>
      </c>
      <c r="K25" s="0" t="n">
        <f aca="false">0.1*G25</f>
        <v>0.00185528845653561</v>
      </c>
      <c r="L25" s="2"/>
      <c r="M25" s="2"/>
    </row>
    <row r="26" customFormat="false" ht="17.35" hidden="false" customHeight="false" outlineLevel="0" collapsed="false">
      <c r="A26" s="0" t="n">
        <f aca="false">A25+0.2</f>
        <v>2.8</v>
      </c>
      <c r="B26" s="3" t="n">
        <v>0.1595</v>
      </c>
      <c r="C26" s="0" t="n">
        <f aca="false">$B$9*B26</f>
        <v>2214095.90605626</v>
      </c>
      <c r="D26" s="0" t="n">
        <f aca="false">0.3*C26</f>
        <v>664228.771816879</v>
      </c>
      <c r="E26" s="0" t="n">
        <v>1264</v>
      </c>
      <c r="F26" s="0" t="n">
        <f aca="false">SQRT(E26)</f>
        <v>35.5527776692624</v>
      </c>
      <c r="G26" s="0" t="n">
        <f aca="false">E26/C26/0.03</f>
        <v>0.0190295882026091</v>
      </c>
      <c r="H26" s="0" t="n">
        <f aca="false">(F26/C26)^2</f>
        <v>2.57842329465816E-010</v>
      </c>
      <c r="I26" s="0" t="n">
        <f aca="false">(E26*D26/(C26^2))^2</f>
        <v>2.93321434000312E-008</v>
      </c>
      <c r="J26" s="0" t="n">
        <f aca="false">SQRT(H26+I26)</f>
        <v>0.000172017399496379</v>
      </c>
      <c r="K26" s="0" t="n">
        <f aca="false">0.1*G26</f>
        <v>0.00190295882026091</v>
      </c>
    </row>
    <row r="27" customFormat="false" ht="17.35" hidden="false" customHeight="false" outlineLevel="0" collapsed="false">
      <c r="A27" s="0" t="n">
        <f aca="false">A26+0.2</f>
        <v>3</v>
      </c>
      <c r="B27" s="3" t="n">
        <v>0.1431</v>
      </c>
      <c r="C27" s="0" t="n">
        <f aca="false">$B$9*B27</f>
        <v>1986439.64988496</v>
      </c>
      <c r="D27" s="0" t="n">
        <f aca="false">0.3*C27</f>
        <v>595931.894965488</v>
      </c>
      <c r="E27" s="0" t="n">
        <v>1088</v>
      </c>
      <c r="F27" s="0" t="n">
        <f aca="false">SQRT(E27)</f>
        <v>32.9848450049413</v>
      </c>
      <c r="G27" s="0" t="n">
        <f aca="false">E27/C27/0.03</f>
        <v>0.0182571198016345</v>
      </c>
      <c r="H27" s="0" t="n">
        <f aca="false">(F27/C27)^2</f>
        <v>2.75726269399E-010</v>
      </c>
      <c r="I27" s="0" t="n">
        <f aca="false">(E27*D27/(C27^2))^2</f>
        <v>2.69991162995501E-008</v>
      </c>
      <c r="J27" s="0" t="n">
        <f aca="false">SQRT(H27+I27)</f>
        <v>0.000165150969022132</v>
      </c>
      <c r="K27" s="0" t="n">
        <f aca="false">0.1*G27</f>
        <v>0.00182571198016345</v>
      </c>
    </row>
    <row r="28" customFormat="false" ht="17.35" hidden="false" customHeight="false" outlineLevel="0" collapsed="false">
      <c r="A28" s="0" t="n">
        <f aca="false">A27+0.2</f>
        <v>3.2</v>
      </c>
      <c r="B28" s="3" t="n">
        <v>0.12856667</v>
      </c>
      <c r="C28" s="0" t="n">
        <f aca="false">$B$9*B28</f>
        <v>1784695.53418361</v>
      </c>
      <c r="D28" s="0" t="n">
        <f aca="false">0.3*C28</f>
        <v>535408.660255084</v>
      </c>
      <c r="E28" s="0" t="n">
        <v>918</v>
      </c>
      <c r="F28" s="0" t="n">
        <f aca="false">SQRT(E28)</f>
        <v>30.2985148150862</v>
      </c>
      <c r="G28" s="0" t="n">
        <f aca="false">E28/C28/0.03</f>
        <v>0.0171457816831472</v>
      </c>
      <c r="H28" s="0" t="n">
        <f aca="false">(F28/C28)^2</f>
        <v>2.88213558358966E-010</v>
      </c>
      <c r="I28" s="0" t="n">
        <f aca="false">(E28*D28/(C28^2))^2</f>
        <v>2.38122041916178E-008</v>
      </c>
      <c r="J28" s="0" t="n">
        <f aca="false">SQRT(H28+I28)</f>
        <v>0.000155243092438848</v>
      </c>
      <c r="K28" s="0" t="n">
        <f aca="false">0.1*G28</f>
        <v>0.00171457816831472</v>
      </c>
    </row>
    <row r="29" customFormat="false" ht="17.35" hidden="false" customHeight="false" outlineLevel="0" collapsed="false">
      <c r="A29" s="0" t="n">
        <f aca="false">A28+0.2</f>
        <v>3.4</v>
      </c>
      <c r="B29" s="3" t="n">
        <v>0.11475</v>
      </c>
      <c r="C29" s="0" t="n">
        <f aca="false">$B$9*B29</f>
        <v>1592899.71924737</v>
      </c>
      <c r="D29" s="0" t="n">
        <f aca="false">0.3*C29</f>
        <v>477869.915774212</v>
      </c>
      <c r="E29" s="0" t="n">
        <v>821</v>
      </c>
      <c r="F29" s="0" t="n">
        <f aca="false">SQRT(E29)</f>
        <v>28.6530975637888</v>
      </c>
      <c r="G29" s="0" t="n">
        <f aca="false">E29/C29/0.03</f>
        <v>0.0171804077406688</v>
      </c>
      <c r="H29" s="0" t="n">
        <f aca="false">(F29/C29)^2</f>
        <v>3.23568537298499E-010</v>
      </c>
      <c r="I29" s="0" t="n">
        <f aca="false">(E29*D29/(C29^2))^2</f>
        <v>2.39084792209861E-008</v>
      </c>
      <c r="J29" s="0" t="n">
        <f aca="false">SQRT(H29+I29)</f>
        <v>0.000155666463177798</v>
      </c>
      <c r="K29" s="0" t="n">
        <f aca="false">0.1*G29</f>
        <v>0.00171804077406688</v>
      </c>
    </row>
    <row r="30" customFormat="false" ht="17.35" hidden="false" customHeight="false" outlineLevel="0" collapsed="false">
      <c r="A30" s="0" t="n">
        <f aca="false">A29+0.2</f>
        <v>3.6</v>
      </c>
      <c r="B30" s="3" t="n">
        <v>0.10228</v>
      </c>
      <c r="C30" s="0" t="n">
        <f aca="false">$B$9*B30</f>
        <v>1419797.67568298</v>
      </c>
      <c r="D30" s="0" t="n">
        <f aca="false">0.3*C30</f>
        <v>425939.302704892</v>
      </c>
      <c r="E30" s="0" t="n">
        <v>676</v>
      </c>
      <c r="F30" s="0" t="n">
        <f aca="false">SQRT(E30)</f>
        <v>26</v>
      </c>
      <c r="G30" s="0" t="n">
        <f aca="false">E30/C30/0.03</f>
        <v>0.0158708059037313</v>
      </c>
      <c r="H30" s="0" t="n">
        <f aca="false">(F30/C30)^2</f>
        <v>3.35346497086569E-010</v>
      </c>
      <c r="I30" s="0" t="n">
        <f aca="false">(E30*D30/(C30^2))^2</f>
        <v>2.04024808827469E-008</v>
      </c>
      <c r="J30" s="0" t="n">
        <f aca="false">SQRT(H30+I30)</f>
        <v>0.000144006344929081</v>
      </c>
      <c r="K30" s="0" t="n">
        <f aca="false">0.1*G30</f>
        <v>0.00158708059037313</v>
      </c>
    </row>
    <row r="31" customFormat="false" ht="17.35" hidden="false" customHeight="false" outlineLevel="0" collapsed="false">
      <c r="A31" s="0" t="n">
        <f aca="false">A30+0.2</f>
        <v>3.8</v>
      </c>
      <c r="B31" s="3" t="n">
        <v>0.090975</v>
      </c>
      <c r="C31" s="0" t="n">
        <f aca="false">$B$9*B31</f>
        <v>1262867.55519416</v>
      </c>
      <c r="D31" s="0" t="n">
        <f aca="false">0.3*C31</f>
        <v>378860.266558248</v>
      </c>
      <c r="E31" s="0" t="n">
        <v>649</v>
      </c>
      <c r="F31" s="0" t="n">
        <f aca="false">SQRT(E31)</f>
        <v>25.475478405714</v>
      </c>
      <c r="G31" s="0" t="n">
        <f aca="false">E31/C31/0.03</f>
        <v>0.01713032633102</v>
      </c>
      <c r="H31" s="0" t="n">
        <f aca="false">(F31/C31)^2</f>
        <v>4.0693878611173E-010</v>
      </c>
      <c r="I31" s="0" t="n">
        <f aca="false">(E31*D31/(C31^2))^2</f>
        <v>2.37692944967861E-008</v>
      </c>
      <c r="J31" s="0" t="n">
        <f aca="false">SQRT(H31+I31)</f>
        <v>0.000155487083974515</v>
      </c>
      <c r="K31" s="0" t="n">
        <f aca="false">0.1*G31</f>
        <v>0.001713032633102</v>
      </c>
    </row>
    <row r="32" customFormat="false" ht="17.35" hidden="false" customHeight="false" outlineLevel="0" collapsed="false">
      <c r="A32" s="0" t="n">
        <f aca="false">A31+0.2</f>
        <v>4</v>
      </c>
      <c r="B32" s="3" t="n">
        <v>0.080735</v>
      </c>
      <c r="C32" s="0" t="n">
        <f aca="false">$B$9*B32</f>
        <v>1120721.20987744</v>
      </c>
      <c r="D32" s="0" t="n">
        <f aca="false">0.3*C32</f>
        <v>336216.362963233</v>
      </c>
      <c r="E32" s="0" t="n">
        <v>547</v>
      </c>
      <c r="F32" s="0" t="n">
        <f aca="false">SQRT(E32)</f>
        <v>23.388031127053</v>
      </c>
      <c r="G32" s="0" t="n">
        <f aca="false">E32/C32/0.03</f>
        <v>0.0162692855035083</v>
      </c>
      <c r="H32" s="0" t="n">
        <f aca="false">(F32/C32)^2</f>
        <v>4.3550399582303E-010</v>
      </c>
      <c r="I32" s="0" t="n">
        <f aca="false">(E32*D32/(C32^2))^2</f>
        <v>2.14398617143678E-008</v>
      </c>
      <c r="J32" s="0" t="n">
        <f aca="false">SQRT(H32+I32)</f>
        <v>0.000147903230898418</v>
      </c>
      <c r="K32" s="0" t="n">
        <f aca="false">0.1*G32</f>
        <v>0.00162692855035083</v>
      </c>
    </row>
    <row r="33" customFormat="false" ht="17.35" hidden="false" customHeight="false" outlineLevel="0" collapsed="false">
      <c r="A33" s="0" t="n">
        <f aca="false">A32+0.2</f>
        <v>4.2</v>
      </c>
      <c r="B33" s="3" t="n">
        <v>0.07152</v>
      </c>
      <c r="C33" s="0" t="n">
        <f aca="false">$B$9*B33</f>
        <v>992803.380571435</v>
      </c>
      <c r="D33" s="0" t="n">
        <f aca="false">0.3*C33</f>
        <v>297841.014171431</v>
      </c>
      <c r="E33" s="0" t="n">
        <v>480</v>
      </c>
      <c r="F33" s="0" t="n">
        <f aca="false">SQRT(E33)</f>
        <v>21.9089023002066</v>
      </c>
      <c r="G33" s="0" t="n">
        <f aca="false">E33/C33/0.03</f>
        <v>0.0161159805789448</v>
      </c>
      <c r="H33" s="0" t="n">
        <f aca="false">(F33/C33)^2</f>
        <v>4.86984056289237E-010</v>
      </c>
      <c r="I33" s="0" t="n">
        <f aca="false">(E33*D33/(C33^2))^2</f>
        <v>2.1037711231695E-008</v>
      </c>
      <c r="J33" s="0" t="n">
        <f aca="false">SQRT(H33+I33)</f>
        <v>0.000146712969051765</v>
      </c>
      <c r="K33" s="0" t="n">
        <f aca="false">0.1*G33</f>
        <v>0.00161159805789448</v>
      </c>
    </row>
    <row r="34" customFormat="false" ht="17.35" hidden="false" customHeight="false" outlineLevel="0" collapsed="false">
      <c r="A34" s="0" t="n">
        <f aca="false">A33+0.2</f>
        <v>4.4</v>
      </c>
      <c r="B34" s="3" t="n">
        <v>0.063265</v>
      </c>
      <c r="C34" s="0" t="n">
        <f aca="false">$B$9*B34</f>
        <v>878211.771138868</v>
      </c>
      <c r="D34" s="0" t="n">
        <f aca="false">0.3*C34</f>
        <v>263463.53134166</v>
      </c>
      <c r="E34" s="0" t="n">
        <v>412</v>
      </c>
      <c r="F34" s="0" t="n">
        <f aca="false">SQRT(E34)</f>
        <v>20.2977831301844</v>
      </c>
      <c r="G34" s="0" t="n">
        <f aca="false">E34/C34/0.03</f>
        <v>0.0156378379163876</v>
      </c>
      <c r="H34" s="0" t="n">
        <f aca="false">(F34/C34)^2</f>
        <v>5.34193634051674E-010</v>
      </c>
      <c r="I34" s="0" t="n">
        <f aca="false">(E34*D34/(C34^2))^2</f>
        <v>1.98078999506361E-008</v>
      </c>
      <c r="J34" s="0" t="n">
        <f aca="false">SQRT(H34+I34)</f>
        <v>0.000142625711513344</v>
      </c>
      <c r="K34" s="0" t="n">
        <f aca="false">0.1*G34</f>
        <v>0.00156378379163876</v>
      </c>
    </row>
    <row r="35" customFormat="false" ht="17.35" hidden="false" customHeight="false" outlineLevel="0" collapsed="false">
      <c r="A35" s="0" t="n">
        <f aca="false">A34+0.2</f>
        <v>4.6</v>
      </c>
      <c r="B35" s="3" t="n">
        <v>0.055895</v>
      </c>
      <c r="C35" s="0" t="n">
        <f aca="false">$B$9*B35</f>
        <v>775905.27065213</v>
      </c>
      <c r="D35" s="0" t="n">
        <f aca="false">0.3*C35</f>
        <v>232771.581195639</v>
      </c>
      <c r="E35" s="0" t="n">
        <v>343</v>
      </c>
      <c r="F35" s="0" t="n">
        <f aca="false">SQRT(E35)</f>
        <v>18.5202591774521</v>
      </c>
      <c r="G35" s="0" t="n">
        <f aca="false">E35/C35/0.03</f>
        <v>0.0147354757929713</v>
      </c>
      <c r="H35" s="0" t="n">
        <f aca="false">(F35/C35)^2</f>
        <v>5.69740006299474E-010</v>
      </c>
      <c r="I35" s="0" t="n">
        <f aca="false">(E35*D35/(C35^2))^2</f>
        <v>1.75878739944648E-008</v>
      </c>
      <c r="J35" s="0" t="n">
        <f aca="false">SQRT(H35+I35)</f>
        <v>0.00013475019109732</v>
      </c>
      <c r="K35" s="0" t="n">
        <f aca="false">0.1*G35</f>
        <v>0.00147354757929713</v>
      </c>
    </row>
    <row r="36" customFormat="false" ht="17.35" hidden="false" customHeight="false" outlineLevel="0" collapsed="false">
      <c r="A36" s="0" t="n">
        <f aca="false">A35+0.2</f>
        <v>4.8</v>
      </c>
      <c r="B36" s="3" t="n">
        <v>0.049335</v>
      </c>
      <c r="C36" s="0" t="n">
        <f aca="false">$B$9*B36</f>
        <v>684842.768183609</v>
      </c>
      <c r="D36" s="0" t="n">
        <f aca="false">0.3*C36</f>
        <v>205452.830455083</v>
      </c>
      <c r="E36" s="0" t="n">
        <v>330</v>
      </c>
      <c r="F36" s="0" t="n">
        <f aca="false">SQRT(E36)</f>
        <v>18.165902124585</v>
      </c>
      <c r="G36" s="0" t="n">
        <f aca="false">E36/C36/0.03</f>
        <v>0.0160620809783463</v>
      </c>
      <c r="H36" s="0" t="n">
        <f aca="false">(F36/C36)^2</f>
        <v>7.03610305513514E-010</v>
      </c>
      <c r="I36" s="0" t="n">
        <f aca="false">(E36*D36/(C36^2))^2</f>
        <v>2.08972260737514E-008</v>
      </c>
      <c r="J36" s="0" t="n">
        <f aca="false">SQRT(H36+I36)</f>
        <v>0.000146972229959489</v>
      </c>
      <c r="K36" s="0" t="n">
        <f aca="false">0.1*G36</f>
        <v>0.00160620809783463</v>
      </c>
    </row>
    <row r="37" customFormat="false" ht="17.35" hidden="false" customHeight="false" outlineLevel="0" collapsed="false">
      <c r="B37" s="3"/>
    </row>
    <row r="38" customFormat="false" ht="17.35" hidden="false" customHeight="false" outlineLevel="0" collapsed="false"/>
    <row r="39" customFormat="false" ht="17.35" hidden="false" customHeight="false" outlineLevel="0" collapsed="false"/>
    <row r="40" customFormat="false" ht="17.35" hidden="false" customHeight="false" outlineLevel="0" collapsed="false">
      <c r="B40" s="0" t="str">
        <f aca="false">_xlfn.TEXTJOIN(", ", 1, K13:K36)</f>
        <v>0, 0.00250922123439437, 0.00291630505035158, 0.0028709465687776, 0.00270134998272188, 0.00259935632441897, 0.0023937282381879, 0.00231079101548389, 0.00221733164778677, 0.00219096481889452, 0.00197706594104667, 0.00192595058984358, 0.00185528845653561, 0.00190295882026091, 0.00182571198016345, 0.00171457816831472, 0.00171804077406688, 0.00158708059037313, 0.001713032633102, 0.00162692855035083, 0.00161159805789448, 0.00156378379163876, 0.00147354757929713, 0.00160620809783463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9" activeCellId="0" sqref="I9"/>
    </sheetView>
  </sheetViews>
  <sheetFormatPr defaultColWidth="10.46875" defaultRowHeight="12.8" customHeight="true" zeroHeight="false" outlineLevelRow="0" outlineLevelCol="0"/>
  <cols>
    <col collapsed="false" customWidth="true" hidden="false" outlineLevel="0" max="9" min="9" style="0" width="17.25"/>
    <col collapsed="false" customWidth="true" hidden="false" outlineLevel="0" max="10" min="10" style="0" width="18"/>
    <col collapsed="false" customWidth="true" hidden="false" outlineLevel="0" max="12" min="11" style="0" width="10.75"/>
    <col collapsed="false" customWidth="true" hidden="false" outlineLevel="0" max="13" min="13" style="0" width="11.87"/>
    <col collapsed="false" customWidth="true" hidden="false" outlineLevel="0" max="14" min="14" style="0" width="10.75"/>
  </cols>
  <sheetData>
    <row r="1" customFormat="false" ht="17.35" hidden="false" customHeight="false" outlineLevel="0" collapsed="false"/>
    <row r="2" customFormat="false" ht="17.35" hidden="false" customHeight="false" outlineLevel="0" collapsed="false">
      <c r="L2" s="0" t="s">
        <v>26</v>
      </c>
      <c r="M2" s="0" t="n">
        <v>7300</v>
      </c>
    </row>
    <row r="3" customFormat="false" ht="17.35" hidden="false" customHeight="false" outlineLevel="0" collapsed="false">
      <c r="L3" s="0" t="s">
        <v>27</v>
      </c>
      <c r="M3" s="0" t="n">
        <v>40000</v>
      </c>
    </row>
    <row r="4" customFormat="false" ht="17.35" hidden="false" customHeight="false" outlineLevel="0" collapsed="false"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I4" s="5" t="s">
        <v>33</v>
      </c>
      <c r="J4" s="0" t="n">
        <v>783</v>
      </c>
      <c r="L4" s="0" t="s">
        <v>34</v>
      </c>
      <c r="M4" s="6" t="n">
        <f aca="false">M3*EXP((-LN(2)/J10)*J7)</f>
        <v>34840.3426838857</v>
      </c>
    </row>
    <row r="5" customFormat="false" ht="17.35" hidden="false" customHeight="false" outlineLevel="0" collapsed="false">
      <c r="C5" s="5" t="n">
        <v>661.6</v>
      </c>
      <c r="D5" s="5" t="n">
        <v>56809.9</v>
      </c>
      <c r="E5" s="5" t="n">
        <v>1292.09</v>
      </c>
      <c r="F5" s="7"/>
      <c r="G5" s="8"/>
      <c r="I5" s="0" t="s">
        <v>35</v>
      </c>
      <c r="J5" s="0" t="n">
        <v>591</v>
      </c>
      <c r="K5" s="0" t="n">
        <v>821</v>
      </c>
      <c r="L5" s="0" t="s">
        <v>36</v>
      </c>
      <c r="M5" s="6" t="n">
        <f aca="false">M3*EXP((-LN(2)/J11)*J8)</f>
        <v>18217.9426291197</v>
      </c>
    </row>
    <row r="6" customFormat="false" ht="17.35" hidden="false" customHeight="false" outlineLevel="0" collapsed="false">
      <c r="C6" s="5" t="n">
        <v>1173.228</v>
      </c>
      <c r="D6" s="7"/>
      <c r="E6" s="7"/>
      <c r="F6" s="7"/>
      <c r="G6" s="8"/>
      <c r="I6" s="0" t="s">
        <v>37</v>
      </c>
      <c r="J6" s="0" t="n">
        <v>2961</v>
      </c>
      <c r="K6" s="0" t="n">
        <v>1011</v>
      </c>
      <c r="L6" s="0" t="s">
        <v>38</v>
      </c>
      <c r="M6" s="6" t="n">
        <f aca="false">M2*EXP((-LN(2)/J12)*J9)</f>
        <v>6057.14624857478</v>
      </c>
    </row>
    <row r="7" customFormat="false" ht="17.35" hidden="false" customHeight="false" outlineLevel="0" collapsed="false">
      <c r="C7" s="5" t="n">
        <v>1332.492</v>
      </c>
      <c r="D7" s="7"/>
      <c r="E7" s="7"/>
      <c r="F7" s="7"/>
      <c r="G7" s="8"/>
      <c r="I7" s="0" t="s">
        <v>39</v>
      </c>
      <c r="J7" s="0" t="n">
        <v>188611200</v>
      </c>
    </row>
    <row r="8" customFormat="false" ht="17.35" hidden="false" customHeight="false" outlineLevel="0" collapsed="false">
      <c r="C8" s="5"/>
      <c r="D8" s="7"/>
      <c r="E8" s="7"/>
      <c r="F8" s="7"/>
      <c r="G8" s="8"/>
      <c r="I8" s="0" t="s">
        <v>40</v>
      </c>
      <c r="J8" s="0" t="n">
        <v>188611200</v>
      </c>
    </row>
    <row r="9" customFormat="false" ht="17.35" hidden="false" customHeight="false" outlineLevel="0" collapsed="false">
      <c r="C9" s="5"/>
      <c r="D9" s="7"/>
      <c r="E9" s="7"/>
      <c r="F9" s="7"/>
      <c r="G9" s="8"/>
      <c r="I9" s="0" t="s">
        <v>41</v>
      </c>
      <c r="J9" s="0" t="n">
        <v>114994800</v>
      </c>
    </row>
    <row r="10" customFormat="false" ht="17.35" hidden="false" customHeight="false" outlineLevel="0" collapsed="false">
      <c r="A10" s="0" t="s">
        <v>42</v>
      </c>
      <c r="C10" s="7" t="n">
        <v>50000</v>
      </c>
      <c r="D10" s="7" t="n">
        <v>1000000</v>
      </c>
      <c r="E10" s="5"/>
      <c r="F10" s="5"/>
      <c r="G10" s="5"/>
      <c r="I10" s="0" t="s">
        <v>43</v>
      </c>
      <c r="J10" s="0" t="n">
        <v>946647648</v>
      </c>
    </row>
    <row r="11" customFormat="false" ht="17.35" hidden="false" customHeight="false" outlineLevel="0" collapsed="false">
      <c r="B11" s="3"/>
      <c r="I11" s="0" t="s">
        <v>44</v>
      </c>
      <c r="J11" s="6" t="n">
        <v>166230000</v>
      </c>
    </row>
    <row r="12" customFormat="false" ht="17.35" hidden="false" customHeight="false" outlineLevel="0" collapsed="false">
      <c r="B12" s="3"/>
      <c r="I12" s="0" t="s">
        <v>45</v>
      </c>
      <c r="J12" s="4" t="n">
        <v>427080000</v>
      </c>
    </row>
    <row r="13" customFormat="false" ht="17.35" hidden="false" customHeight="false" outlineLevel="0" collapsed="false">
      <c r="B13" s="3"/>
    </row>
    <row r="14" customFormat="false" ht="17.35" hidden="false" customHeight="false" outlineLevel="0" collapsed="false">
      <c r="A14" s="0" t="n">
        <v>661.6</v>
      </c>
      <c r="D14" s="3" t="n">
        <v>5631.31</v>
      </c>
      <c r="E14" s="0" t="n">
        <v>7.39313</v>
      </c>
    </row>
    <row r="15" customFormat="false" ht="17.35" hidden="false" customHeight="false" outlineLevel="0" collapsed="false">
      <c r="D15" s="3" t="n">
        <v>56809.9</v>
      </c>
      <c r="E15" s="0" t="n">
        <v>1.4125</v>
      </c>
    </row>
    <row r="16" customFormat="false" ht="17.35" hidden="false" customHeight="false" outlineLevel="0" collapsed="false">
      <c r="D16" s="3" t="n">
        <v>1292.09</v>
      </c>
      <c r="E16" s="0" t="n">
        <v>1.10159</v>
      </c>
    </row>
    <row r="17" customFormat="false" ht="17.35" hidden="false" customHeight="false" outlineLevel="0" collapsed="false"/>
    <row r="18" customFormat="false" ht="17.35" hidden="false" customHeight="false" outlineLevel="0" collapsed="false"/>
    <row r="19" customFormat="false" ht="17.35" hidden="false" customHeight="false" outlineLevel="0" collapsed="false">
      <c r="A19" s="0" t="n">
        <v>1173.228</v>
      </c>
      <c r="D19" s="3" t="n">
        <v>1274.01</v>
      </c>
      <c r="E19" s="3" t="n">
        <v>1476.13</v>
      </c>
    </row>
    <row r="20" customFormat="false" ht="17.35" hidden="false" customHeight="false" outlineLevel="0" collapsed="false">
      <c r="D20" s="3" t="n">
        <v>101044</v>
      </c>
      <c r="E20" s="3" t="n">
        <v>104317</v>
      </c>
    </row>
    <row r="21" customFormat="false" ht="17.35" hidden="false" customHeight="false" outlineLevel="0" collapsed="false">
      <c r="D21" s="3" t="n">
        <v>1556.41</v>
      </c>
      <c r="E21" s="3" t="n">
        <v>1516.92</v>
      </c>
      <c r="I21" s="0" t="s">
        <v>46</v>
      </c>
      <c r="J21" s="0" t="s">
        <v>47</v>
      </c>
      <c r="K21" s="0" t="s">
        <v>48</v>
      </c>
      <c r="L21" s="0" t="s">
        <v>49</v>
      </c>
      <c r="M21" s="0" t="s">
        <v>50</v>
      </c>
      <c r="N21" s="0" t="s">
        <v>51</v>
      </c>
    </row>
    <row r="22" customFormat="false" ht="17.35" hidden="false" customHeight="false" outlineLevel="0" collapsed="false"/>
    <row r="23" customFormat="false" ht="17.35" hidden="false" customHeight="false" outlineLevel="0" collapsed="false"/>
    <row r="24" customFormat="false" ht="17.35" hidden="false" customHeight="false" outlineLevel="0" collapsed="false"/>
    <row r="25" customFormat="false" ht="17.35" hidden="false" customHeight="false" outlineLevel="0" collapsed="false">
      <c r="I25" s="2" t="n">
        <v>121.78</v>
      </c>
      <c r="J25" s="1" t="n">
        <v>9678.28</v>
      </c>
      <c r="K25" s="2" t="n">
        <f aca="false">(SQRT(2*PI())*D32*D34)/20</f>
        <v>456466.700538131</v>
      </c>
      <c r="L25" s="2" t="n">
        <v>0.2858</v>
      </c>
      <c r="M25" s="2" t="n">
        <f aca="false">M6*L25*J6</f>
        <v>5125883.03001215</v>
      </c>
      <c r="N25" s="2" t="n">
        <f aca="false">100*K25/M25</f>
        <v>8.90513298617056</v>
      </c>
      <c r="O25" s="0" t="n">
        <f aca="false">0.1*N25</f>
        <v>0.890513298617056</v>
      </c>
    </row>
    <row r="26" customFormat="false" ht="17.35" hidden="false" customHeight="false" outlineLevel="0" collapsed="false">
      <c r="A26" s="0" t="n">
        <v>1332.492</v>
      </c>
      <c r="D26" s="3" t="n">
        <v>1111.86</v>
      </c>
      <c r="E26" s="3" t="n">
        <v>1345.27</v>
      </c>
      <c r="I26" s="2" t="n">
        <v>244.7</v>
      </c>
      <c r="J26" s="1" t="n">
        <v>20584.2</v>
      </c>
      <c r="K26" s="2" t="n">
        <f aca="false">(SQRT(2*PI())*D36*D38)/20</f>
        <v>82070.1527808844</v>
      </c>
      <c r="L26" s="2" t="n">
        <v>0.0758</v>
      </c>
      <c r="M26" s="2" t="n">
        <f aca="false">M6*L26*J6</f>
        <v>1359488.92118587</v>
      </c>
      <c r="N26" s="2" t="n">
        <f aca="false">100*K26/M26</f>
        <v>6.03683866061192</v>
      </c>
      <c r="O26" s="0" t="n">
        <f aca="false">0.1*N26</f>
        <v>0.603683866061192</v>
      </c>
    </row>
    <row r="27" customFormat="false" ht="17.35" hidden="false" customHeight="false" outlineLevel="0" collapsed="false">
      <c r="D27" s="3" t="n">
        <v>114648</v>
      </c>
      <c r="E27" s="3" t="n">
        <v>118307</v>
      </c>
      <c r="I27" s="2" t="n">
        <v>344.28</v>
      </c>
      <c r="J27" s="1" t="n">
        <v>29361.1</v>
      </c>
      <c r="K27" s="2" t="n">
        <f aca="false">(SQRT(2*PI())*D40*D42)/20</f>
        <v>290788.643643557</v>
      </c>
      <c r="L27" s="2" t="n">
        <v>0.265</v>
      </c>
      <c r="M27" s="2" t="n">
        <f aca="false">M6*L27*J6</f>
        <v>4752830.66113793</v>
      </c>
      <c r="N27" s="2" t="n">
        <f aca="false">100*K27/M27</f>
        <v>6.11822015922477</v>
      </c>
      <c r="O27" s="0" t="n">
        <f aca="false">0.1*N27</f>
        <v>0.611822015922477</v>
      </c>
    </row>
    <row r="28" customFormat="false" ht="17.35" hidden="false" customHeight="false" outlineLevel="0" collapsed="false">
      <c r="D28" s="3" t="n">
        <v>1714.67</v>
      </c>
      <c r="E28" s="3" t="n">
        <v>1750.4</v>
      </c>
      <c r="I28" s="2" t="n">
        <v>661.6</v>
      </c>
      <c r="J28" s="1" t="n">
        <v>56809.9</v>
      </c>
      <c r="K28" s="2" t="n">
        <f aca="false">(SQRT(2*PI())*D14*D16)/20</f>
        <v>911931.336355026</v>
      </c>
      <c r="L28" s="2" t="n">
        <v>0.8501</v>
      </c>
      <c r="M28" s="2" t="n">
        <f aca="false">M4*L28*J4</f>
        <v>23190718.0720922</v>
      </c>
      <c r="N28" s="2" t="n">
        <f aca="false">100*K28/M28</f>
        <v>3.9323117702528</v>
      </c>
      <c r="O28" s="0" t="n">
        <f aca="false">0.1*N28</f>
        <v>0.39323117702528</v>
      </c>
    </row>
    <row r="29" customFormat="false" ht="17.35" hidden="false" customHeight="false" outlineLevel="0" collapsed="false">
      <c r="I29" s="2" t="n">
        <v>1173.228</v>
      </c>
      <c r="J29" s="1" t="n">
        <v>101044</v>
      </c>
      <c r="K29" s="2" t="n">
        <f aca="false">(SQRT(2*PI())*D19*D21)/20</f>
        <v>248517.392303561</v>
      </c>
      <c r="L29" s="2" t="n">
        <v>0.9985</v>
      </c>
      <c r="M29" s="2" t="n">
        <f aca="false">L29*M5*J5</f>
        <v>10750653.8876691</v>
      </c>
      <c r="N29" s="2" t="n">
        <f aca="false">100*K29/M29</f>
        <v>2.31164908572314</v>
      </c>
      <c r="O29" s="0" t="n">
        <f aca="false">0.1*N29</f>
        <v>0.231164908572314</v>
      </c>
    </row>
    <row r="30" customFormat="false" ht="17.35" hidden="false" customHeight="false" outlineLevel="0" collapsed="false">
      <c r="I30" s="0" t="n">
        <v>1332.492</v>
      </c>
      <c r="J30" s="3" t="n">
        <v>114648</v>
      </c>
      <c r="K30" s="0" t="n">
        <f aca="false">(SQRT(2*PI())*D26*D28)/20</f>
        <v>238940.954601456</v>
      </c>
      <c r="L30" s="0" t="n">
        <v>0.9998</v>
      </c>
      <c r="M30" s="0" t="n">
        <f aca="false">M5*L30*J5</f>
        <v>10764650.732991</v>
      </c>
      <c r="N30" s="0" t="n">
        <f aca="false">100*K30/M30</f>
        <v>2.21968144186194</v>
      </c>
      <c r="O30" s="0" t="n">
        <f aca="false">0.1*N30</f>
        <v>0.221968144186194</v>
      </c>
    </row>
    <row r="31" customFormat="false" ht="17.35" hidden="false" customHeight="false" outlineLevel="0" collapsed="false"/>
    <row r="32" customFormat="false" ht="17.35" hidden="false" customHeight="false" outlineLevel="0" collapsed="false">
      <c r="A32" s="0" t="n">
        <v>121.78</v>
      </c>
      <c r="D32" s="9" t="n">
        <v>4576.9</v>
      </c>
      <c r="E32" s="10" t="n">
        <v>3508.5</v>
      </c>
    </row>
    <row r="33" customFormat="false" ht="17.35" hidden="false" customHeight="false" outlineLevel="0" collapsed="false">
      <c r="D33" s="9" t="n">
        <v>9678.28</v>
      </c>
      <c r="E33" s="10" t="n">
        <v>10916.4</v>
      </c>
    </row>
    <row r="34" customFormat="false" ht="17.35" hidden="false" customHeight="false" outlineLevel="0" collapsed="false">
      <c r="D34" s="9" t="n">
        <v>795.752</v>
      </c>
      <c r="E34" s="10" t="n">
        <v>532.225</v>
      </c>
    </row>
    <row r="35" customFormat="false" ht="17.35" hidden="false" customHeight="false" outlineLevel="0" collapsed="false"/>
    <row r="36" customFormat="false" ht="17.35" hidden="false" customHeight="false" outlineLevel="0" collapsed="false">
      <c r="A36" s="0" t="n">
        <v>244.7</v>
      </c>
      <c r="D36" s="9" t="n">
        <v>706.317</v>
      </c>
      <c r="E36" s="10" t="n">
        <v>458.275</v>
      </c>
    </row>
    <row r="37" customFormat="false" ht="17.35" hidden="false" customHeight="false" outlineLevel="0" collapsed="false">
      <c r="D37" s="9" t="n">
        <v>20584.2</v>
      </c>
      <c r="E37" s="10" t="n">
        <v>22015.4</v>
      </c>
    </row>
    <row r="38" customFormat="false" ht="17.35" hidden="false" customHeight="false" outlineLevel="0" collapsed="false">
      <c r="D38" s="9" t="n">
        <v>927.098</v>
      </c>
      <c r="E38" s="10" t="n">
        <v>658.115</v>
      </c>
    </row>
    <row r="39" customFormat="false" ht="17.35" hidden="false" customHeight="false" outlineLevel="0" collapsed="false"/>
    <row r="40" customFormat="false" ht="17.35" hidden="false" customHeight="false" outlineLevel="0" collapsed="false">
      <c r="A40" s="0" t="n">
        <v>344.28</v>
      </c>
      <c r="D40" s="9" t="n">
        <v>2203.86</v>
      </c>
      <c r="E40" s="10" t="n">
        <v>1438.28</v>
      </c>
    </row>
    <row r="41" customFormat="false" ht="17.35" hidden="false" customHeight="false" outlineLevel="0" collapsed="false">
      <c r="D41" s="9" t="n">
        <v>29361.1</v>
      </c>
      <c r="E41" s="10" t="n">
        <v>30934.1</v>
      </c>
    </row>
    <row r="42" customFormat="false" ht="17.35" hidden="false" customHeight="false" outlineLevel="0" collapsed="false">
      <c r="D42" s="9" t="n">
        <v>1052.77</v>
      </c>
      <c r="E42" s="10" t="n">
        <v>778.821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7" activeCellId="0" sqref="G17"/>
    </sheetView>
  </sheetViews>
  <sheetFormatPr defaultColWidth="10.46875" defaultRowHeight="12.8" customHeight="true" zeroHeight="false" outlineLevelRow="0" outlineLevelCol="0"/>
  <sheetData>
    <row r="1" customFormat="false" ht="17.35" hidden="false" customHeight="false" outlineLevel="0" collapsed="false">
      <c r="A1" s="0" t="s">
        <v>52</v>
      </c>
    </row>
    <row r="2" customFormat="false" ht="17.35" hidden="false" customHeight="false" outlineLevel="0" collapsed="false"/>
    <row r="3" customFormat="false" ht="17.35" hidden="false" customHeight="false" outlineLevel="0" collapsed="false"/>
    <row r="4" customFormat="false" ht="17.35" hidden="false" customHeight="false" outlineLevel="0" collapsed="false">
      <c r="A4" s="3" t="n">
        <v>720.593</v>
      </c>
      <c r="B4" s="3" t="n">
        <v>204.747</v>
      </c>
      <c r="C4" s="3" t="n">
        <v>2657.16</v>
      </c>
      <c r="D4" s="3" t="n">
        <v>379.249</v>
      </c>
      <c r="E4" s="3" t="n">
        <v>173.033</v>
      </c>
      <c r="F4" s="3" t="n">
        <v>2950.2</v>
      </c>
      <c r="G4" s="3" t="n">
        <v>150.226</v>
      </c>
      <c r="H4" s="9" t="n">
        <v>197.963</v>
      </c>
      <c r="I4" s="9" t="n">
        <v>332.804</v>
      </c>
    </row>
    <row r="5" customFormat="false" ht="17.35" hidden="false" customHeight="false" outlineLevel="0" collapsed="false">
      <c r="A5" s="3" t="n">
        <v>216.893</v>
      </c>
      <c r="B5" s="3" t="n">
        <v>529.821</v>
      </c>
      <c r="C5" s="3" t="n">
        <v>654.519</v>
      </c>
      <c r="D5" s="3" t="n">
        <v>866.799</v>
      </c>
      <c r="E5" s="3" t="n">
        <v>984.931</v>
      </c>
      <c r="F5" s="3" t="n">
        <v>1348.53</v>
      </c>
      <c r="G5" s="3" t="n">
        <v>1354.85</v>
      </c>
      <c r="H5" s="9" t="n">
        <v>1909.36</v>
      </c>
      <c r="I5" s="9" t="n">
        <v>2215.09</v>
      </c>
    </row>
    <row r="6" customFormat="false" ht="17.35" hidden="false" customHeight="false" outlineLevel="0" collapsed="false">
      <c r="A6" s="3" t="n">
        <v>1.03254</v>
      </c>
      <c r="B6" s="3" t="n">
        <v>1.14617</v>
      </c>
      <c r="C6" s="3" t="n">
        <v>1.12715</v>
      </c>
      <c r="D6" s="3" t="n">
        <v>1.10451</v>
      </c>
      <c r="E6" s="3" t="n">
        <v>1.35877</v>
      </c>
      <c r="F6" s="3" t="n">
        <v>1.38368</v>
      </c>
      <c r="G6" s="3" t="n">
        <v>1.53925</v>
      </c>
      <c r="H6" s="9" t="n">
        <v>1.61956</v>
      </c>
      <c r="I6" s="9" t="n">
        <v>1.77161</v>
      </c>
    </row>
    <row r="7" customFormat="false" ht="17.35" hidden="false" customHeight="false" outlineLevel="0" collapsed="false"/>
    <row r="8" customFormat="false" ht="17.35" hidden="false" customHeight="false" outlineLevel="0" collapsed="false">
      <c r="D8" s="0" t="n">
        <f aca="false">SQRT(2*PI())*D4*D6</f>
        <v>1049.98726274012</v>
      </c>
      <c r="F8" s="0" t="n">
        <f aca="false">SQRT(2*PI())*F4*F6</f>
        <v>10232.3893368544</v>
      </c>
      <c r="H8" s="0" t="n">
        <f aca="false">SQRT(2*PI())*H4*H6</f>
        <v>803.657501424481</v>
      </c>
      <c r="I8" s="0" t="n">
        <f aca="false">SQRT(2*PI())*I4*I6</f>
        <v>1477.90525949448</v>
      </c>
    </row>
    <row r="9" customFormat="false" ht="17.35" hidden="false" customHeight="false" outlineLevel="0" collapsed="false"/>
    <row r="10" customFormat="false" ht="17.35" hidden="false" customHeight="false" outlineLevel="0" collapsed="false"/>
    <row r="11" customFormat="false" ht="17.35" hidden="false" customHeight="false" outlineLevel="0" collapsed="false"/>
    <row r="12" customFormat="false" ht="17.35" hidden="false" customHeight="false" outlineLevel="0" collapsed="false">
      <c r="A12" s="0" t="s">
        <v>53</v>
      </c>
    </row>
    <row r="13" customFormat="false" ht="17.35" hidden="false" customHeight="false" outlineLevel="0" collapsed="false"/>
    <row r="14" customFormat="false" ht="17.35" hidden="false" customHeight="false" outlineLevel="0" collapsed="false">
      <c r="D14" s="9" t="n">
        <v>530.847</v>
      </c>
      <c r="F14" s="3" t="n">
        <v>5868.9</v>
      </c>
      <c r="H14" s="9" t="n">
        <v>139.175</v>
      </c>
      <c r="I14" s="9" t="n">
        <v>246.549</v>
      </c>
    </row>
    <row r="15" customFormat="false" ht="17.35" hidden="false" customHeight="false" outlineLevel="0" collapsed="false">
      <c r="D15" s="9" t="n">
        <v>867.481</v>
      </c>
      <c r="F15" s="3" t="n">
        <v>1348.49</v>
      </c>
      <c r="H15" s="9" t="n">
        <v>1909.67</v>
      </c>
      <c r="I15" s="9" t="n">
        <v>2215.39</v>
      </c>
    </row>
    <row r="16" customFormat="false" ht="17.35" hidden="false" customHeight="false" outlineLevel="0" collapsed="false">
      <c r="D16" s="9" t="n">
        <v>1.19008</v>
      </c>
      <c r="F16" s="3" t="n">
        <v>1.36479</v>
      </c>
      <c r="H16" s="9" t="n">
        <v>1.50088</v>
      </c>
      <c r="I16" s="9" t="n">
        <v>1.95888</v>
      </c>
    </row>
    <row r="17" customFormat="false" ht="17.35" hidden="false" customHeight="false" outlineLevel="0" collapsed="false"/>
    <row r="18" customFormat="false" ht="17.35" hidden="false" customHeight="false" outlineLevel="0" collapsed="false">
      <c r="D18" s="0" t="n">
        <f aca="false">SQRT(2*PI())*D14*D16</f>
        <v>1583.5634095346</v>
      </c>
      <c r="F18" s="0" t="n">
        <f aca="false">SQRT(2*PI())*F14*F16</f>
        <v>20077.6313378973</v>
      </c>
      <c r="H18" s="4" t="n">
        <f aca="false">SQRT(2*PI())*H14*H16*3</f>
        <v>1570.79094592188</v>
      </c>
      <c r="I18" s="4" t="n">
        <f aca="false">SQRT(2*PI())*I14*I16*3</f>
        <v>3631.80286106069</v>
      </c>
    </row>
    <row r="19" customFormat="false" ht="17.35" hidden="false" customHeight="false" outlineLevel="0" collapsed="false"/>
    <row r="20" customFormat="false" ht="17.35" hidden="false" customHeight="false" outlineLevel="0" collapsed="false"/>
    <row r="21" customFormat="false" ht="17.35" hidden="false" customHeight="false" outlineLevel="0" collapsed="false"/>
    <row r="22" customFormat="false" ht="17.35" hidden="false" customHeight="false" outlineLevel="0" collapsed="false"/>
    <row r="23" customFormat="false" ht="17.35" hidden="false" customHeight="false" outlineLevel="0" collapsed="false">
      <c r="D23" s="11" t="n">
        <f aca="false">D8/D18</f>
        <v>0.663053500995393</v>
      </c>
      <c r="F23" s="11" t="n">
        <f aca="false">F8/F18</f>
        <v>0.509641260198876</v>
      </c>
      <c r="H23" s="11" t="n">
        <f aca="false">H8/H18</f>
        <v>0.511626008229135</v>
      </c>
      <c r="I23" s="11" t="n">
        <f aca="false">I8/I18</f>
        <v>0.406934328771042</v>
      </c>
      <c r="K23" s="12" t="n">
        <f aca="false">(D23+F23+H23+I23)/4</f>
        <v>0.522813774548612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39"/>
  <sheetViews>
    <sheetView showFormulas="false" showGridLines="tru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F15" activeCellId="0" sqref="F15"/>
    </sheetView>
  </sheetViews>
  <sheetFormatPr defaultColWidth="10.46875" defaultRowHeight="12.8" customHeight="true" zeroHeight="false" outlineLevelRow="0" outlineLevelCol="0"/>
  <cols>
    <col collapsed="false" customWidth="true" hidden="false" outlineLevel="0" max="6" min="6" style="0" width="10.87"/>
    <col collapsed="false" customWidth="true" hidden="false" outlineLevel="0" max="9" min="7" style="0" width="11.87"/>
  </cols>
  <sheetData>
    <row r="1" customFormat="false" ht="17.35" hidden="false" customHeight="false" outlineLevel="0" collapsed="false"/>
    <row r="2" customFormat="false" ht="17.35" hidden="false" customHeight="false" outlineLevel="0" collapsed="false"/>
    <row r="3" customFormat="false" ht="17.35" hidden="false" customHeight="false" outlineLevel="0" collapsed="false"/>
    <row r="4" customFormat="false" ht="17.35" hidden="false" customHeight="false" outlineLevel="0" collapsed="false"/>
    <row r="5" customFormat="false" ht="17.35" hidden="false" customHeight="false" outlineLevel="0" collapsed="false"/>
    <row r="6" customFormat="false" ht="17.35" hidden="false" customHeight="false" outlineLevel="0" collapsed="false"/>
    <row r="7" customFormat="false" ht="17.35" hidden="false" customHeight="false" outlineLevel="0" collapsed="false"/>
    <row r="8" customFormat="false" ht="17.35" hidden="false" customHeight="false" outlineLevel="0" collapsed="false"/>
    <row r="9" customFormat="false" ht="17.35" hidden="false" customHeight="false" outlineLevel="0" collapsed="false"/>
    <row r="10" customFormat="false" ht="17.35" hidden="false" customHeight="false" outlineLevel="0" collapsed="false"/>
    <row r="11" customFormat="false" ht="17.35" hidden="false" customHeight="false" outlineLevel="0" collapsed="false">
      <c r="C11" s="3" t="n">
        <v>1999.66</v>
      </c>
    </row>
    <row r="12" customFormat="false" ht="17.35" hidden="false" customHeight="false" outlineLevel="0" collapsed="false">
      <c r="C12" s="3" t="n">
        <v>1348.5</v>
      </c>
      <c r="J12" s="3" t="n">
        <v>46.1199</v>
      </c>
    </row>
    <row r="13" customFormat="false" ht="17.35" hidden="false" customHeight="false" outlineLevel="0" collapsed="false">
      <c r="C13" s="3" t="n">
        <v>1.33189</v>
      </c>
      <c r="J13" s="3" t="n">
        <v>139.763</v>
      </c>
    </row>
    <row r="14" customFormat="false" ht="17.35" hidden="false" customHeight="false" outlineLevel="0" collapsed="false">
      <c r="J14" s="3" t="n">
        <v>35.8286</v>
      </c>
    </row>
    <row r="15" customFormat="false" ht="17.35" hidden="false" customHeight="false" outlineLevel="0" collapsed="false">
      <c r="B15" s="0" t="s">
        <v>54</v>
      </c>
      <c r="C15" s="0" t="n">
        <f aca="false">SQRT(2*PI())*C11*C13*3</f>
        <v>20027.9134719943</v>
      </c>
      <c r="D15" s="0" t="n">
        <f aca="false">SQRT(C15)</f>
        <v>141.520010853569</v>
      </c>
      <c r="E15" s="0" t="s">
        <v>55</v>
      </c>
      <c r="F15" s="0" t="n">
        <v>4000</v>
      </c>
      <c r="G15" s="0" t="n">
        <f aca="false">SQRT(F15)</f>
        <v>63.2455532033676</v>
      </c>
    </row>
    <row r="16" customFormat="false" ht="17.35" hidden="false" customHeight="false" outlineLevel="0" collapsed="false">
      <c r="J16" s="4" t="n">
        <f aca="false">SQRT(2*PI())*J12*J14</f>
        <v>4141.98125973831</v>
      </c>
    </row>
    <row r="17" customFormat="false" ht="17.35" hidden="false" customHeight="false" outlineLevel="0" collapsed="false"/>
    <row r="18" customFormat="false" ht="17.35" hidden="false" customHeight="false" outlineLevel="0" collapsed="false">
      <c r="B18" s="0" t="s">
        <v>56</v>
      </c>
      <c r="C18" s="0" t="n">
        <v>0.6</v>
      </c>
    </row>
    <row r="19" customFormat="false" ht="17.35" hidden="false" customHeight="false" outlineLevel="0" collapsed="false"/>
    <row r="20" customFormat="false" ht="17.35" hidden="false" customHeight="false" outlineLevel="0" collapsed="false"/>
    <row r="21" customFormat="false" ht="17.35" hidden="false" customHeight="false" outlineLevel="0" collapsed="false">
      <c r="B21" s="0" t="s">
        <v>57</v>
      </c>
      <c r="C21" s="0" t="n">
        <v>0.016</v>
      </c>
      <c r="D21" s="0" t="n">
        <v>0.002</v>
      </c>
      <c r="E21" s="0" t="s">
        <v>58</v>
      </c>
      <c r="F21" s="0" t="n">
        <v>0.52</v>
      </c>
      <c r="G21" s="0" t="n">
        <v>0.1</v>
      </c>
      <c r="H21" s="0" t="s">
        <v>59</v>
      </c>
      <c r="I21" s="0" t="n">
        <v>0.03</v>
      </c>
      <c r="J21" s="0" t="n">
        <v>0.005</v>
      </c>
    </row>
    <row r="22" customFormat="false" ht="17.35" hidden="false" customHeight="false" outlineLevel="0" collapsed="false"/>
    <row r="23" customFormat="false" ht="17.35" hidden="false" customHeight="false" outlineLevel="0" collapsed="false"/>
    <row r="24" customFormat="false" ht="17.35" hidden="false" customHeight="false" outlineLevel="0" collapsed="false">
      <c r="B24" s="0" t="s">
        <v>60</v>
      </c>
      <c r="C24" s="0" t="n">
        <f aca="false">(C15*C18)/C21</f>
        <v>751046.755199788</v>
      </c>
      <c r="D24" s="0" t="n">
        <f aca="false">SQRT(C24)</f>
        <v>866.629537460955</v>
      </c>
    </row>
    <row r="25" customFormat="false" ht="17.35" hidden="false" customHeight="false" outlineLevel="0" collapsed="false"/>
    <row r="26" customFormat="false" ht="17.35" hidden="false" customHeight="false" outlineLevel="0" collapsed="false"/>
    <row r="27" customFormat="false" ht="17.35" hidden="false" customHeight="false" outlineLevel="0" collapsed="false"/>
    <row r="28" customFormat="false" ht="17.35" hidden="false" customHeight="false" outlineLevel="0" collapsed="false"/>
    <row r="29" customFormat="false" ht="17.35" hidden="false" customHeight="false" outlineLevel="0" collapsed="false">
      <c r="B29" s="0" t="s">
        <v>61</v>
      </c>
      <c r="C29" s="13" t="n">
        <f aca="false">(F15*C21*C18)/(I21*C15*F21)</f>
        <v>0.122905387272644</v>
      </c>
      <c r="D29" s="11" t="s">
        <v>62</v>
      </c>
      <c r="E29" s="14" t="n">
        <f aca="false">C29/0.227</f>
        <v>0.541433424108562</v>
      </c>
      <c r="I29" s="4"/>
      <c r="K29" s="4"/>
    </row>
    <row r="30" customFormat="false" ht="17.35" hidden="false" customHeight="false" outlineLevel="0" collapsed="false">
      <c r="H30" s="0" t="s">
        <v>63</v>
      </c>
      <c r="I30" s="4" t="n">
        <v>2000000</v>
      </c>
      <c r="J30" s="0" t="s">
        <v>64</v>
      </c>
      <c r="K30" s="4" t="n">
        <f aca="false">I21*I30</f>
        <v>60000</v>
      </c>
    </row>
    <row r="31" customFormat="false" ht="17.35" hidden="false" customHeight="false" outlineLevel="0" collapsed="false"/>
    <row r="32" customFormat="false" ht="17.35" hidden="false" customHeight="false" outlineLevel="0" collapsed="false">
      <c r="H32" s="0" t="s">
        <v>65</v>
      </c>
      <c r="I32" s="14" t="n">
        <f aca="false">F15/K30</f>
        <v>0.0666666666666667</v>
      </c>
    </row>
    <row r="33" customFormat="false" ht="17.35" hidden="false" customHeight="false" outlineLevel="0" collapsed="false"/>
    <row r="34" customFormat="false" ht="17.35" hidden="false" customHeight="false" outlineLevel="0" collapsed="false"/>
    <row r="35" customFormat="false" ht="17.35" hidden="false" customHeight="false" outlineLevel="0" collapsed="false"/>
    <row r="36" customFormat="false" ht="17.35" hidden="false" customHeight="false" outlineLevel="0" collapsed="false"/>
    <row r="37" customFormat="false" ht="17.35" hidden="false" customHeight="false" outlineLevel="0" collapsed="false"/>
    <row r="38" customFormat="false" ht="17.35" hidden="false" customHeight="false" outlineLevel="0" collapsed="false">
      <c r="C38" s="0" t="n">
        <v>18</v>
      </c>
      <c r="D38" s="0" t="n">
        <v>1.4</v>
      </c>
    </row>
    <row r="39" customFormat="false" ht="17.35" hidden="false" customHeight="false" outlineLevel="0" collapsed="false">
      <c r="C39" s="0" t="n">
        <v>39</v>
      </c>
      <c r="D39" s="0" t="n">
        <f aca="false">D38*C39/C38</f>
        <v>3.03333333333333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S87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J84" activeCellId="0" sqref="J84"/>
    </sheetView>
  </sheetViews>
  <sheetFormatPr defaultColWidth="10.46875" defaultRowHeight="12.8" customHeight="true" zeroHeight="false" outlineLevelRow="0" outlineLevelCol="0"/>
  <cols>
    <col collapsed="false" customWidth="true" hidden="false" outlineLevel="0" max="9" min="9" style="0" width="10.87"/>
    <col collapsed="false" customWidth="true" hidden="false" outlineLevel="0" max="10" min="10" style="0" width="20.63"/>
    <col collapsed="false" customWidth="true" hidden="false" outlineLevel="0" max="11" min="11" style="0" width="10.87"/>
    <col collapsed="false" customWidth="true" hidden="false" outlineLevel="0" max="13" min="12" style="0" width="10.75"/>
    <col collapsed="false" customWidth="true" hidden="false" outlineLevel="0" max="14" min="14" style="0" width="10.87"/>
    <col collapsed="false" customWidth="true" hidden="false" outlineLevel="0" max="15" min="15" style="0" width="10.75"/>
    <col collapsed="false" customWidth="true" hidden="false" outlineLevel="0" max="19" min="16" style="0" width="10.87"/>
  </cols>
  <sheetData>
    <row r="1" customFormat="false" ht="17.35" hidden="false" customHeight="false" outlineLevel="0" collapsed="false"/>
    <row r="2" customFormat="false" ht="17.35" hidden="false" customHeight="false" outlineLevel="0" collapsed="false"/>
    <row r="3" customFormat="false" ht="17.35" hidden="false" customHeight="false" outlineLevel="0" collapsed="false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17.35" hidden="false" customHeight="false" outlineLevel="0" collapsed="false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 t="s">
        <v>26</v>
      </c>
      <c r="N4" s="3" t="n">
        <v>7300</v>
      </c>
      <c r="O4" s="3"/>
    </row>
    <row r="5" customFormat="false" ht="17.35" hidden="false" customHeight="false" outlineLevel="0" collapsed="false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customFormat="false" ht="17.35" hidden="false" customHeight="false" outlineLevel="0" collapsed="false">
      <c r="B6" s="3"/>
      <c r="C6" s="3"/>
      <c r="D6" s="5"/>
      <c r="E6" s="5"/>
      <c r="F6" s="5"/>
      <c r="G6" s="5"/>
      <c r="H6" s="5"/>
      <c r="I6" s="3"/>
      <c r="J6" s="5"/>
      <c r="K6" s="3"/>
      <c r="L6" s="3"/>
      <c r="M6" s="3"/>
      <c r="N6" s="15"/>
      <c r="O6" s="3"/>
    </row>
    <row r="7" customFormat="false" ht="17.35" hidden="false" customHeight="false" outlineLevel="0" collapsed="false">
      <c r="B7" s="3"/>
      <c r="C7" s="3"/>
      <c r="D7" s="5"/>
      <c r="E7" s="5"/>
      <c r="F7" s="5"/>
      <c r="G7" s="7"/>
      <c r="H7" s="8"/>
      <c r="I7" s="3"/>
      <c r="J7" s="3"/>
      <c r="K7" s="3"/>
      <c r="L7" s="3"/>
      <c r="M7" s="3"/>
      <c r="N7" s="15"/>
      <c r="O7" s="3"/>
    </row>
    <row r="8" customFormat="false" ht="17.35" hidden="false" customHeight="false" outlineLevel="0" collapsed="false">
      <c r="B8" s="3"/>
      <c r="C8" s="3"/>
      <c r="D8" s="5"/>
      <c r="E8" s="7"/>
      <c r="F8" s="7"/>
      <c r="G8" s="7"/>
      <c r="H8" s="8"/>
      <c r="I8" s="3"/>
      <c r="J8" s="3" t="s">
        <v>37</v>
      </c>
      <c r="K8" s="3" t="n">
        <v>3643</v>
      </c>
      <c r="L8" s="3"/>
      <c r="M8" s="3" t="s">
        <v>38</v>
      </c>
      <c r="N8" s="15" t="n">
        <f aca="false">N4*EXP((-LN(2)/K14)*K11)</f>
        <v>6157.97373742279</v>
      </c>
      <c r="O8" s="3"/>
    </row>
    <row r="9" customFormat="false" ht="17.35" hidden="false" customHeight="false" outlineLevel="0" collapsed="false">
      <c r="B9" s="3"/>
      <c r="C9" s="3"/>
      <c r="D9" s="5"/>
      <c r="E9" s="7"/>
      <c r="F9" s="7"/>
      <c r="G9" s="7"/>
      <c r="H9" s="8"/>
      <c r="I9" s="3"/>
      <c r="J9" s="3"/>
      <c r="K9" s="3"/>
      <c r="L9" s="3"/>
      <c r="M9" s="3"/>
      <c r="N9" s="3"/>
      <c r="O9" s="3"/>
    </row>
    <row r="10" customFormat="false" ht="17.35" hidden="false" customHeight="false" outlineLevel="0" collapsed="false">
      <c r="B10" s="3"/>
      <c r="C10" s="3"/>
      <c r="D10" s="5"/>
      <c r="E10" s="7"/>
      <c r="F10" s="7"/>
      <c r="G10" s="7"/>
      <c r="H10" s="8"/>
      <c r="I10" s="3"/>
      <c r="J10" s="3"/>
      <c r="K10" s="3"/>
      <c r="L10" s="3"/>
      <c r="M10" s="3"/>
      <c r="N10" s="3"/>
      <c r="O10" s="3"/>
    </row>
    <row r="11" customFormat="false" ht="17.35" hidden="false" customHeight="false" outlineLevel="0" collapsed="false">
      <c r="B11" s="3"/>
      <c r="C11" s="3"/>
      <c r="D11" s="5"/>
      <c r="E11" s="7"/>
      <c r="F11" s="7"/>
      <c r="G11" s="7"/>
      <c r="H11" s="8"/>
      <c r="I11" s="3"/>
      <c r="J11" s="3" t="s">
        <v>41</v>
      </c>
      <c r="K11" s="3" t="n">
        <v>104803200</v>
      </c>
      <c r="L11" s="3"/>
      <c r="M11" s="3"/>
      <c r="N11" s="3"/>
      <c r="O11" s="3"/>
    </row>
    <row r="12" customFormat="false" ht="17.35" hidden="false" customHeight="false" outlineLevel="0" collapsed="false">
      <c r="B12" s="3" t="s">
        <v>42</v>
      </c>
      <c r="C12" s="3"/>
      <c r="D12" s="7"/>
      <c r="E12" s="7"/>
      <c r="F12" s="5"/>
      <c r="G12" s="5"/>
      <c r="H12" s="5"/>
      <c r="I12" s="3"/>
      <c r="J12" s="3"/>
      <c r="K12" s="3"/>
      <c r="L12" s="3"/>
      <c r="M12" s="3"/>
      <c r="N12" s="3"/>
      <c r="O12" s="3"/>
    </row>
    <row r="13" customFormat="false" ht="17.35" hidden="false" customHeight="false" outlineLevel="0" collapsed="false">
      <c r="B13" s="3"/>
      <c r="C13" s="3"/>
      <c r="D13" s="3"/>
      <c r="E13" s="3"/>
      <c r="F13" s="3"/>
      <c r="G13" s="3"/>
      <c r="H13" s="3"/>
      <c r="I13" s="3"/>
      <c r="J13" s="3"/>
      <c r="K13" s="15"/>
      <c r="L13" s="3"/>
      <c r="M13" s="3"/>
      <c r="N13" s="3"/>
      <c r="O13" s="3"/>
    </row>
    <row r="14" customFormat="false" ht="17.35" hidden="false" customHeight="false" outlineLevel="0" collapsed="false">
      <c r="B14" s="3"/>
      <c r="C14" s="3"/>
      <c r="D14" s="3"/>
      <c r="E14" s="3"/>
      <c r="F14" s="3"/>
      <c r="G14" s="3"/>
      <c r="H14" s="3"/>
      <c r="I14" s="3"/>
      <c r="J14" s="3" t="s">
        <v>45</v>
      </c>
      <c r="K14" s="9" t="n">
        <v>427000000</v>
      </c>
      <c r="L14" s="3"/>
      <c r="M14" s="3"/>
      <c r="N14" s="3"/>
      <c r="O14" s="3"/>
    </row>
    <row r="15" customFormat="false" ht="17.35" hidden="false" customHeight="false" outlineLevel="0" collapsed="false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customFormat="false" ht="17.35" hidden="false" customHeight="false" outlineLevel="0" collapsed="false">
      <c r="B16" s="3" t="n">
        <v>121.78</v>
      </c>
      <c r="C16" s="3" t="n">
        <v>0.2858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customFormat="false" ht="17.35" hidden="false" customHeight="false" outlineLevel="0" collapsed="false">
      <c r="B17" s="3" t="n">
        <v>244.7</v>
      </c>
      <c r="C17" s="3" t="n">
        <v>0.0758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customFormat="false" ht="17.35" hidden="false" customHeight="false" outlineLevel="0" collapsed="false">
      <c r="B18" s="3" t="n">
        <v>344.28</v>
      </c>
      <c r="C18" s="3" t="n">
        <v>0.265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customFormat="false" ht="17.35" hidden="false" customHeight="false" outlineLevel="0" collapsed="false">
      <c r="B19" s="3" t="n">
        <v>411.12</v>
      </c>
      <c r="C19" s="3" t="n">
        <v>0.0223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customFormat="false" ht="17.35" hidden="false" customHeight="false" outlineLevel="0" collapsed="false">
      <c r="B20" s="3" t="n">
        <v>443.96</v>
      </c>
      <c r="C20" s="3" t="n">
        <v>0.0315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customFormat="false" ht="17.35" hidden="false" customHeight="false" outlineLevel="0" collapsed="false">
      <c r="B21" s="3" t="n">
        <v>778.9</v>
      </c>
      <c r="C21" s="3" t="n">
        <v>0.1294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customFormat="false" ht="17.35" hidden="false" customHeight="false" outlineLevel="0" collapsed="false">
      <c r="B22" s="3" t="n">
        <v>867.37</v>
      </c>
      <c r="C22" s="3" t="n">
        <v>0.0425</v>
      </c>
      <c r="D22" s="3"/>
      <c r="E22" s="3"/>
      <c r="F22" s="3"/>
      <c r="G22" s="3"/>
      <c r="H22" s="3"/>
      <c r="I22" s="3"/>
      <c r="J22" s="3"/>
      <c r="K22" s="3"/>
      <c r="L22" s="3"/>
      <c r="M22" s="3"/>
    </row>
    <row r="23" customFormat="false" ht="17.35" hidden="false" customHeight="false" outlineLevel="0" collapsed="false">
      <c r="B23" s="3" t="n">
        <v>964.08</v>
      </c>
      <c r="C23" s="3" t="n">
        <v>0.146</v>
      </c>
      <c r="D23" s="3"/>
      <c r="E23" s="3"/>
      <c r="F23" s="3"/>
      <c r="G23" s="3"/>
      <c r="H23" s="3"/>
      <c r="I23" s="3"/>
      <c r="J23" s="3" t="s">
        <v>46</v>
      </c>
      <c r="K23" s="3" t="s">
        <v>49</v>
      </c>
      <c r="L23" s="3" t="s">
        <v>50</v>
      </c>
      <c r="M23" s="3" t="s">
        <v>51</v>
      </c>
    </row>
    <row r="24" customFormat="false" ht="17.35" hidden="false" customHeight="false" outlineLevel="0" collapsed="false">
      <c r="B24" s="3" t="n">
        <v>1085.9</v>
      </c>
      <c r="C24" s="3" t="n">
        <v>0.1021</v>
      </c>
      <c r="D24" s="3"/>
      <c r="E24" s="3"/>
      <c r="F24" s="3"/>
      <c r="G24" s="3"/>
      <c r="H24" s="3"/>
      <c r="I24" s="3"/>
      <c r="J24" s="3" t="n">
        <v>121.78</v>
      </c>
      <c r="K24" s="3" t="n">
        <v>0.2858</v>
      </c>
      <c r="L24" s="3" t="n">
        <f aca="false">$N$8*K24*$K$8</f>
        <v>6411493.82140824</v>
      </c>
      <c r="M24" s="3"/>
    </row>
    <row r="25" customFormat="false" ht="17.35" hidden="false" customHeight="false" outlineLevel="0" collapsed="false">
      <c r="B25" s="3" t="n">
        <v>1089.7</v>
      </c>
      <c r="C25" s="3" t="n">
        <v>0.0173</v>
      </c>
      <c r="D25" s="3"/>
      <c r="E25" s="3"/>
      <c r="F25" s="3"/>
      <c r="G25" s="3"/>
      <c r="H25" s="3"/>
      <c r="I25" s="3"/>
      <c r="J25" s="3" t="n">
        <v>244.7</v>
      </c>
      <c r="K25" s="3" t="n">
        <v>0.0758</v>
      </c>
      <c r="L25" s="3" t="n">
        <f aca="false">$N$8*K25*$K$8</f>
        <v>1700459.17306769</v>
      </c>
      <c r="M25" s="3"/>
    </row>
    <row r="26" customFormat="false" ht="17.35" hidden="false" customHeight="false" outlineLevel="0" collapsed="false">
      <c r="B26" s="3" t="n">
        <v>1112.1</v>
      </c>
      <c r="C26" s="3" t="n">
        <v>0.1364</v>
      </c>
      <c r="D26" s="3"/>
      <c r="E26" s="3"/>
      <c r="F26" s="3"/>
      <c r="G26" s="3"/>
      <c r="H26" s="3"/>
      <c r="I26" s="3"/>
      <c r="J26" s="3" t="n">
        <v>344.28</v>
      </c>
      <c r="K26" s="3" t="n">
        <v>0.265</v>
      </c>
      <c r="L26" s="3" t="n">
        <f aca="false">$N$8*K26*$K$8</f>
        <v>5944877.05623927</v>
      </c>
      <c r="M26" s="3"/>
    </row>
    <row r="27" customFormat="false" ht="17.35" hidden="false" customHeight="false" outlineLevel="0" collapsed="false">
      <c r="B27" s="3" t="n">
        <v>1408</v>
      </c>
      <c r="C27" s="3" t="n">
        <v>0.21</v>
      </c>
      <c r="D27" s="3"/>
      <c r="E27" s="3"/>
      <c r="F27" s="3"/>
      <c r="G27" s="3"/>
      <c r="H27" s="3"/>
      <c r="I27" s="3"/>
      <c r="J27" s="3" t="n">
        <v>411.12</v>
      </c>
      <c r="K27" s="3" t="n">
        <v>0.0223</v>
      </c>
      <c r="L27" s="3" t="n">
        <f aca="false">$N$8*K27*$K$8</f>
        <v>500267.012657116</v>
      </c>
      <c r="M27" s="1"/>
    </row>
    <row r="28" customFormat="false" ht="17.35" hidden="false" customHeight="false" outlineLevel="0" collapsed="false">
      <c r="B28" s="3"/>
      <c r="C28" s="3"/>
      <c r="D28" s="3"/>
      <c r="E28" s="3"/>
      <c r="F28" s="3"/>
      <c r="G28" s="3"/>
      <c r="H28" s="3"/>
      <c r="I28" s="3"/>
      <c r="J28" s="3" t="n">
        <v>443.96</v>
      </c>
      <c r="K28" s="3" t="n">
        <v>0.0315</v>
      </c>
      <c r="L28" s="3" t="n">
        <f aca="false">$N$8*K28*$K$8</f>
        <v>706655.197251084</v>
      </c>
      <c r="M28" s="1"/>
    </row>
    <row r="29" customFormat="false" ht="17.35" hidden="false" customHeight="false" outlineLevel="0" collapsed="false">
      <c r="B29" s="3"/>
      <c r="C29" s="3"/>
      <c r="D29" s="3"/>
      <c r="E29" s="3"/>
      <c r="F29" s="3"/>
      <c r="G29" s="3"/>
      <c r="H29" s="3"/>
      <c r="I29" s="3"/>
      <c r="J29" s="3" t="n">
        <v>778.9</v>
      </c>
      <c r="K29" s="3" t="n">
        <v>0.1294</v>
      </c>
      <c r="L29" s="3" t="n">
        <f aca="false">$N$8*K29*$K$8</f>
        <v>2902894.6833108</v>
      </c>
      <c r="M29" s="1"/>
    </row>
    <row r="30" customFormat="false" ht="17.35" hidden="false" customHeight="false" outlineLevel="0" collapsed="false">
      <c r="B30" s="3"/>
      <c r="C30" s="3"/>
      <c r="D30" s="3"/>
      <c r="E30" s="3"/>
      <c r="F30" s="3"/>
      <c r="G30" s="3"/>
      <c r="H30" s="3"/>
      <c r="I30" s="3"/>
      <c r="J30" s="3" t="n">
        <v>867.37</v>
      </c>
      <c r="K30" s="3" t="n">
        <v>0.0425</v>
      </c>
      <c r="L30" s="3" t="n">
        <f aca="false">$N$8*K30*$K$8</f>
        <v>953423.678830827</v>
      </c>
      <c r="M30" s="1"/>
    </row>
    <row r="31" customFormat="false" ht="17.35" hidden="false" customHeight="false" outlineLevel="0" collapsed="false">
      <c r="B31" s="3"/>
      <c r="C31" s="3"/>
      <c r="D31" s="3"/>
      <c r="E31" s="3"/>
      <c r="F31" s="3"/>
      <c r="G31" s="3"/>
      <c r="H31" s="3"/>
      <c r="I31" s="3"/>
      <c r="J31" s="3" t="n">
        <v>964.08</v>
      </c>
      <c r="K31" s="3" t="n">
        <v>0.146</v>
      </c>
      <c r="L31" s="3" t="n">
        <f aca="false">$N$8*K31*$K$8</f>
        <v>3275290.75551296</v>
      </c>
      <c r="M31" s="1"/>
    </row>
    <row r="32" customFormat="false" ht="17.35" hidden="false" customHeight="false" outlineLevel="0" collapsed="false">
      <c r="B32" s="9" t="n">
        <v>19406.3</v>
      </c>
      <c r="C32" s="9" t="n">
        <f aca="false">SQRT(2*PI())*B32*B34*3</f>
        <v>102350.208340699</v>
      </c>
      <c r="D32" s="3"/>
      <c r="E32" s="3"/>
      <c r="F32" s="3"/>
      <c r="G32" s="3"/>
      <c r="H32" s="3"/>
      <c r="I32" s="3"/>
      <c r="J32" s="3" t="n">
        <v>1085.9</v>
      </c>
      <c r="K32" s="3" t="n">
        <v>0.1021</v>
      </c>
      <c r="L32" s="3" t="n">
        <f aca="false">$N$8*K32*$K$8</f>
        <v>2290460.17902653</v>
      </c>
      <c r="M32" s="3"/>
    </row>
    <row r="33" customFormat="false" ht="17.35" hidden="false" customHeight="false" outlineLevel="0" collapsed="false">
      <c r="B33" s="9" t="n">
        <v>121.79</v>
      </c>
      <c r="C33" s="9" t="n">
        <f aca="false">SQRT(2*PI())*B33*B35*3</f>
        <v>0</v>
      </c>
      <c r="D33" s="3"/>
      <c r="E33" s="3"/>
      <c r="F33" s="3"/>
      <c r="G33" s="3"/>
      <c r="H33" s="3"/>
      <c r="I33" s="3"/>
      <c r="J33" s="3" t="n">
        <v>1112.1</v>
      </c>
      <c r="K33" s="3" t="n">
        <v>0.1364</v>
      </c>
      <c r="L33" s="3" t="n">
        <f aca="false">$N$8*K33*$K$8</f>
        <v>3059929.17158882</v>
      </c>
      <c r="M33" s="3"/>
    </row>
    <row r="34" customFormat="false" ht="17.35" hidden="false" customHeight="false" outlineLevel="0" collapsed="false">
      <c r="B34" s="9" t="n">
        <v>0.70135</v>
      </c>
      <c r="C34" s="9" t="n">
        <f aca="false">SQRT(2*PI())*B34*B36*3</f>
        <v>18338.7367469255</v>
      </c>
      <c r="D34" s="3"/>
      <c r="E34" s="9"/>
      <c r="F34" s="10"/>
      <c r="G34" s="3"/>
      <c r="H34" s="3"/>
      <c r="I34" s="3"/>
      <c r="J34" s="3" t="n">
        <v>1408</v>
      </c>
      <c r="K34" s="3" t="n">
        <v>0.21</v>
      </c>
      <c r="L34" s="3" t="n">
        <f aca="false">$N$8*K34*$K$8</f>
        <v>4711034.64834056</v>
      </c>
      <c r="M34" s="3"/>
    </row>
    <row r="35" customFormat="false" ht="17.35" hidden="false" customHeight="false" outlineLevel="0" collapsed="false">
      <c r="B35" s="3"/>
      <c r="C35" s="9" t="n">
        <f aca="false">SQRT(2*PI())*B35*B37*3</f>
        <v>0</v>
      </c>
      <c r="D35" s="3"/>
      <c r="E35" s="9"/>
      <c r="F35" s="10"/>
      <c r="G35" s="3"/>
      <c r="H35" s="3"/>
      <c r="I35" s="3"/>
      <c r="M35" s="3"/>
    </row>
    <row r="36" customFormat="false" ht="17.35" hidden="false" customHeight="false" outlineLevel="0" collapsed="false">
      <c r="B36" s="9" t="n">
        <v>3477.15</v>
      </c>
      <c r="C36" s="9" t="n">
        <f aca="false">SQRT(2*PI())*B36*B38*3</f>
        <v>19099.401451716</v>
      </c>
      <c r="D36" s="3"/>
      <c r="E36" s="9"/>
      <c r="F36" s="10"/>
      <c r="G36" s="3"/>
      <c r="H36" s="3"/>
      <c r="I36" s="3"/>
      <c r="J36" s="3"/>
      <c r="K36" s="3"/>
      <c r="L36" s="3"/>
      <c r="M36" s="3"/>
      <c r="N36" s="3"/>
      <c r="O36" s="3"/>
    </row>
    <row r="37" customFormat="false" ht="17.35" hidden="false" customHeight="false" outlineLevel="0" collapsed="false">
      <c r="B37" s="9" t="n">
        <v>244.356</v>
      </c>
      <c r="C37" s="9" t="n">
        <f aca="false">SQRT(2*PI())*B37*B39*3</f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customFormat="false" ht="17.35" hidden="false" customHeight="false" outlineLevel="0" collapsed="false">
      <c r="B38" s="9" t="n">
        <v>0.730441</v>
      </c>
      <c r="C38" s="9" t="n">
        <f aca="false">SQRT(2*PI())*B38*B40*3</f>
        <v>52456.2727790906</v>
      </c>
      <c r="D38" s="3"/>
      <c r="E38" s="9"/>
      <c r="F38" s="10"/>
      <c r="G38" s="3"/>
      <c r="H38" s="3"/>
      <c r="I38" s="3"/>
      <c r="J38" s="3"/>
      <c r="K38" s="3"/>
      <c r="L38" s="3"/>
      <c r="M38" s="3"/>
      <c r="N38" s="3"/>
      <c r="O38" s="3"/>
    </row>
    <row r="39" customFormat="false" ht="17.35" hidden="false" customHeight="false" outlineLevel="0" collapsed="false">
      <c r="B39" s="3"/>
      <c r="C39" s="9" t="n">
        <f aca="false">SQRT(2*PI())*B39*B41*3</f>
        <v>0</v>
      </c>
      <c r="D39" s="3"/>
      <c r="E39" s="9"/>
      <c r="F39" s="10"/>
      <c r="G39" s="3"/>
      <c r="H39" s="3"/>
      <c r="I39" s="3"/>
      <c r="J39" s="3"/>
      <c r="K39" s="3"/>
      <c r="L39" s="3"/>
      <c r="M39" s="3"/>
      <c r="N39" s="3"/>
      <c r="O39" s="3"/>
    </row>
    <row r="40" customFormat="false" ht="17.35" hidden="false" customHeight="false" outlineLevel="0" collapsed="false">
      <c r="B40" s="9" t="n">
        <v>9549.95</v>
      </c>
      <c r="C40" s="9" t="n">
        <f aca="false">SQRT(2*PI())*B40*B42*3</f>
        <v>56629.4865875512</v>
      </c>
      <c r="D40" s="3"/>
      <c r="E40" s="9"/>
      <c r="F40" s="10"/>
      <c r="G40" s="3"/>
      <c r="H40" s="3"/>
      <c r="I40" s="3"/>
      <c r="J40" s="3"/>
      <c r="K40" s="3"/>
      <c r="L40" s="3"/>
      <c r="M40" s="3"/>
      <c r="N40" s="3"/>
      <c r="O40" s="3"/>
    </row>
    <row r="41" customFormat="false" ht="17.35" hidden="false" customHeight="false" outlineLevel="0" collapsed="false">
      <c r="B41" s="9" t="n">
        <v>344.014</v>
      </c>
      <c r="C41" s="9" t="n">
        <f aca="false">SQRT(2*PI())*B41*B43*3</f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customFormat="false" ht="17.35" hidden="false" customHeight="false" outlineLevel="0" collapsed="false">
      <c r="B42" s="9" t="n">
        <v>0.788552</v>
      </c>
      <c r="C42" s="9" t="n">
        <f aca="false">SQRT(2*PI())*B42*B44*3</f>
        <v>4111.53572503144</v>
      </c>
      <c r="D42" s="3"/>
      <c r="E42" s="9"/>
      <c r="F42" s="10"/>
      <c r="G42" s="3"/>
      <c r="H42" s="3"/>
      <c r="I42" s="3"/>
      <c r="J42" s="3"/>
      <c r="K42" s="3"/>
      <c r="L42" s="3"/>
      <c r="M42" s="3"/>
      <c r="N42" s="3"/>
      <c r="O42" s="3"/>
    </row>
    <row r="43" customFormat="false" ht="17.35" hidden="false" customHeight="false" outlineLevel="0" collapsed="false">
      <c r="B43" s="3"/>
      <c r="C43" s="9" t="n">
        <f aca="false">SQRT(2*PI())*B43*B45*3</f>
        <v>0</v>
      </c>
      <c r="D43" s="3"/>
      <c r="E43" s="9"/>
      <c r="F43" s="10"/>
      <c r="G43" s="3"/>
      <c r="H43" s="3"/>
      <c r="I43" s="3"/>
      <c r="J43" s="3"/>
      <c r="K43" s="3"/>
      <c r="L43" s="3"/>
      <c r="M43" s="3"/>
      <c r="N43" s="3"/>
      <c r="O43" s="3"/>
    </row>
    <row r="44" customFormat="false" ht="17.35" hidden="false" customHeight="false" outlineLevel="0" collapsed="false">
      <c r="B44" s="9" t="n">
        <v>693.366</v>
      </c>
      <c r="C44" s="9" t="n">
        <f aca="false">SQRT(2*PI())*B44*B46*3</f>
        <v>4126.42178770703</v>
      </c>
      <c r="D44" s="3"/>
      <c r="E44" s="9"/>
      <c r="F44" s="10"/>
      <c r="G44" s="3"/>
      <c r="H44" s="3"/>
      <c r="I44" s="3"/>
      <c r="J44" s="3"/>
      <c r="K44" s="3"/>
      <c r="L44" s="3"/>
      <c r="M44" s="3"/>
      <c r="N44" s="3"/>
      <c r="O44" s="3"/>
    </row>
    <row r="45" customFormat="false" ht="17.35" hidden="false" customHeight="false" outlineLevel="0" collapsed="false">
      <c r="B45" s="9" t="n">
        <v>410.473</v>
      </c>
      <c r="C45" s="9" t="n">
        <f aca="false">SQRT(2*PI())*B45*B47*3</f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customFormat="false" ht="17.35" hidden="false" customHeight="false" outlineLevel="0" collapsed="false">
      <c r="B46" s="9" t="n">
        <v>0.791407</v>
      </c>
      <c r="C46" s="9" t="n">
        <f aca="false">SQRT(2*PI())*B46*B48*3</f>
        <v>5281.98961904122</v>
      </c>
      <c r="D46" s="3"/>
      <c r="E46" s="3"/>
      <c r="F46" s="3"/>
      <c r="G46" s="3" t="s">
        <v>66</v>
      </c>
      <c r="H46" s="3"/>
      <c r="I46" s="9" t="n">
        <v>19406.3</v>
      </c>
      <c r="J46" s="9" t="n">
        <v>3477.15</v>
      </c>
      <c r="K46" s="9" t="n">
        <v>9549.95</v>
      </c>
      <c r="L46" s="9" t="n">
        <v>693.366</v>
      </c>
      <c r="M46" s="9" t="n">
        <v>887.537</v>
      </c>
      <c r="N46" s="9" t="n">
        <v>2137.4</v>
      </c>
      <c r="O46" s="9" t="n">
        <v>598.119</v>
      </c>
      <c r="P46" s="9" t="n">
        <v>1925.14</v>
      </c>
      <c r="Q46" s="9" t="n">
        <v>1198.65</v>
      </c>
      <c r="R46" s="9" t="n">
        <v>1552.35</v>
      </c>
      <c r="S46" s="9" t="n">
        <v>1797.06</v>
      </c>
    </row>
    <row r="47" customFormat="false" ht="17.35" hidden="false" customHeight="false" outlineLevel="0" collapsed="false">
      <c r="C47" s="9" t="n">
        <f aca="false">SQRT(2*PI())*B47*B49*3</f>
        <v>0</v>
      </c>
      <c r="I47" s="9" t="n">
        <v>121.79</v>
      </c>
      <c r="J47" s="9" t="n">
        <v>244.356</v>
      </c>
      <c r="K47" s="9" t="n">
        <v>344.014</v>
      </c>
      <c r="L47" s="9" t="n">
        <v>410.473</v>
      </c>
      <c r="M47" s="9" t="n">
        <v>443.292</v>
      </c>
      <c r="N47" s="9" t="n">
        <v>779.59</v>
      </c>
      <c r="O47" s="9" t="n">
        <v>867.924</v>
      </c>
      <c r="P47" s="9" t="n">
        <v>964.43</v>
      </c>
      <c r="Q47" s="9" t="n">
        <v>1086.07</v>
      </c>
      <c r="R47" s="9" t="n">
        <v>1112.19</v>
      </c>
      <c r="S47" s="9" t="n">
        <v>1407.84</v>
      </c>
    </row>
    <row r="48" customFormat="false" ht="17.35" hidden="false" customHeight="false" outlineLevel="0" collapsed="false">
      <c r="B48" s="9" t="n">
        <v>887.537</v>
      </c>
      <c r="C48" s="9" t="n">
        <f aca="false">SQRT(2*PI())*B48*B50*3</f>
        <v>5410.88798045645</v>
      </c>
      <c r="I48" s="9" t="n">
        <v>0.70135</v>
      </c>
      <c r="J48" s="9" t="n">
        <v>0.730441</v>
      </c>
      <c r="K48" s="9" t="n">
        <v>0.788552</v>
      </c>
      <c r="L48" s="9" t="n">
        <v>0.791407</v>
      </c>
      <c r="M48" s="9" t="n">
        <v>0.81072</v>
      </c>
      <c r="N48" s="9" t="n">
        <v>0.967458</v>
      </c>
      <c r="O48" s="9" t="n">
        <v>1.00595</v>
      </c>
      <c r="P48" s="9" t="n">
        <v>1.05812</v>
      </c>
      <c r="Q48" s="9" t="n">
        <v>1.14398</v>
      </c>
      <c r="R48" s="9" t="n">
        <v>1.13115</v>
      </c>
      <c r="S48" s="9" t="n">
        <v>1.25759</v>
      </c>
    </row>
    <row r="49" customFormat="false" ht="17.35" hidden="false" customHeight="false" outlineLevel="0" collapsed="false">
      <c r="B49" s="9" t="n">
        <v>443.292</v>
      </c>
      <c r="C49" s="9" t="n">
        <f aca="false">SQRT(2*PI())*B49*B51*3</f>
        <v>0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customFormat="false" ht="17.35" hidden="false" customHeight="false" outlineLevel="0" collapsed="false">
      <c r="B50" s="9" t="n">
        <v>0.81072</v>
      </c>
      <c r="C50" s="9" t="n">
        <f aca="false">SQRT(2*PI())*B50*B52*3</f>
        <v>13030.7040376093</v>
      </c>
      <c r="H50" s="0" t="s">
        <v>67</v>
      </c>
      <c r="I50" s="4" t="n">
        <f aca="false">SQRT(2*PI())*I46*I48*3</f>
        <v>102350.208340699</v>
      </c>
      <c r="J50" s="4" t="n">
        <f aca="false">SQRT(2*PI())*J46*J48*3</f>
        <v>19099.401451716</v>
      </c>
      <c r="K50" s="4" t="n">
        <f aca="false">SQRT(2*PI())*K46*K48*3</f>
        <v>56629.4865875512</v>
      </c>
      <c r="L50" s="4" t="n">
        <f aca="false">SQRT(2*PI())*L46*L48*3</f>
        <v>4126.42178770703</v>
      </c>
      <c r="M50" s="4" t="n">
        <f aca="false">SQRT(2*PI())*M46*M48*3</f>
        <v>5410.88798045645</v>
      </c>
      <c r="N50" s="4" t="n">
        <f aca="false">SQRT(2*PI())*N46*N48*3</f>
        <v>15549.9541972782</v>
      </c>
      <c r="O50" s="4" t="n">
        <f aca="false">SQRT(2*PI())*O46*O48*3</f>
        <v>4524.5478176284</v>
      </c>
      <c r="P50" s="4" t="n">
        <f aca="false">SQRT(2*PI())*P46*P48*3</f>
        <v>15318.2244916502</v>
      </c>
      <c r="Q50" s="4" t="n">
        <f aca="false">SQRT(2*PI())*Q46*Q48*3</f>
        <v>10311.5039019194</v>
      </c>
      <c r="R50" s="4" t="n">
        <f aca="false">SQRT(2*PI())*R46*R48*3</f>
        <v>13204.4718403858</v>
      </c>
      <c r="S50" s="4" t="n">
        <f aca="false">SQRT(2*PI())*S46*S48*3</f>
        <v>16994.6741402736</v>
      </c>
    </row>
    <row r="51" customFormat="false" ht="17.35" hidden="false" customHeight="false" outlineLevel="0" collapsed="false">
      <c r="C51" s="9" t="n">
        <f aca="false">SQRT(2*PI())*B51*B53*3</f>
        <v>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customFormat="false" ht="17.35" hidden="false" customHeight="false" outlineLevel="0" collapsed="false">
      <c r="B52" s="9" t="n">
        <v>2137.4</v>
      </c>
      <c r="C52" s="9" t="n">
        <f aca="false">SQRT(2*PI())*B52*B54*3</f>
        <v>15549.9541972782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customFormat="false" ht="17.35" hidden="false" customHeight="false" outlineLevel="0" collapsed="false">
      <c r="B53" s="9" t="n">
        <v>779.59</v>
      </c>
      <c r="C53" s="9" t="n">
        <f aca="false">SQRT(2*PI())*B53*B55*3</f>
        <v>0</v>
      </c>
      <c r="H53" s="0" t="s">
        <v>50</v>
      </c>
      <c r="I53" s="4" t="n">
        <v>6411493.82140824</v>
      </c>
      <c r="J53" s="9" t="n">
        <v>1700459.17306769</v>
      </c>
      <c r="K53" s="9" t="n">
        <v>5944877.05623927</v>
      </c>
      <c r="L53" s="4" t="n">
        <v>500267.012657116</v>
      </c>
      <c r="M53" s="4" t="n">
        <v>706655.197251083</v>
      </c>
      <c r="N53" s="4" t="n">
        <v>2902894.6833108</v>
      </c>
      <c r="O53" s="4" t="n">
        <v>953423.678830827</v>
      </c>
      <c r="P53" s="4" t="n">
        <v>3275290.75551296</v>
      </c>
      <c r="Q53" s="4" t="n">
        <v>2290460.17902653</v>
      </c>
      <c r="R53" s="4" t="n">
        <v>3059929.17158882</v>
      </c>
      <c r="S53" s="4" t="n">
        <v>4711034.64834056</v>
      </c>
    </row>
    <row r="54" customFormat="false" ht="17.35" hidden="false" customHeight="false" outlineLevel="0" collapsed="false">
      <c r="B54" s="9" t="n">
        <v>0.967458</v>
      </c>
      <c r="C54" s="9" t="n">
        <f aca="false">SQRT(2*PI())*B54*B56*3</f>
        <v>4351.41903926352</v>
      </c>
      <c r="H54" s="0" t="s">
        <v>51</v>
      </c>
      <c r="I54" s="16" t="n">
        <f aca="false">I50/I53</f>
        <v>0.0159635509588962</v>
      </c>
      <c r="J54" s="4" t="n">
        <f aca="false">J50/J53</f>
        <v>0.0112319082717287</v>
      </c>
      <c r="K54" s="4" t="n">
        <f aca="false">K50/K53</f>
        <v>0.00952576244249111</v>
      </c>
      <c r="L54" s="4" t="n">
        <f aca="false">L50/L53</f>
        <v>0.00824843870034519</v>
      </c>
      <c r="M54" s="4" t="n">
        <f aca="false">M50/M53</f>
        <v>0.00765704122959121</v>
      </c>
      <c r="N54" s="4" t="n">
        <f aca="false">N50/N53</f>
        <v>0.0053567062858592</v>
      </c>
      <c r="O54" s="4" t="n">
        <f aca="false">O50/O53</f>
        <v>0.00474557945023644</v>
      </c>
      <c r="P54" s="4" t="n">
        <f aca="false">P50/P53</f>
        <v>0.00467690523837207</v>
      </c>
      <c r="Q54" s="4" t="n">
        <f aca="false">Q50/Q53</f>
        <v>0.00450193546097882</v>
      </c>
      <c r="R54" s="4" t="n">
        <f aca="false">R50/R53</f>
        <v>0.00431528675989894</v>
      </c>
      <c r="S54" s="4" t="n">
        <f aca="false">S50/S53</f>
        <v>0.00360741862644969</v>
      </c>
    </row>
    <row r="55" customFormat="false" ht="17.35" hidden="false" customHeight="false" outlineLevel="0" collapsed="false">
      <c r="C55" s="9" t="n">
        <f aca="false">SQRT(2*PI())*B55*B57*3</f>
        <v>0</v>
      </c>
      <c r="H55" s="0" t="s">
        <v>68</v>
      </c>
      <c r="I55" s="4" t="n">
        <f aca="false">1.3333*I54</f>
        <v>0.0212842024934963</v>
      </c>
      <c r="J55" s="4" t="n">
        <f aca="false">1.3333*J54</f>
        <v>0.0149755032986959</v>
      </c>
      <c r="K55" s="4" t="n">
        <f aca="false">1.3333*K54</f>
        <v>0.0127006990645734</v>
      </c>
      <c r="L55" s="4" t="n">
        <f aca="false">1.3333*L54</f>
        <v>0.0109976433191702</v>
      </c>
      <c r="M55" s="4" t="n">
        <f aca="false">1.3333*M54</f>
        <v>0.010209133071414</v>
      </c>
      <c r="N55" s="4" t="n">
        <f aca="false">1.3333*N54</f>
        <v>0.00714209649093607</v>
      </c>
      <c r="O55" s="4" t="n">
        <f aca="false">1.3333*O54</f>
        <v>0.00632728108100025</v>
      </c>
      <c r="P55" s="4" t="n">
        <f aca="false">1.3333*P54</f>
        <v>0.00623571775432149</v>
      </c>
      <c r="Q55" s="4" t="n">
        <f aca="false">1.3333*Q54</f>
        <v>0.00600243055012305</v>
      </c>
      <c r="R55" s="4" t="n">
        <f aca="false">1.3333*R54</f>
        <v>0.00575357183697326</v>
      </c>
      <c r="S55" s="4" t="n">
        <f aca="false">1.3333*S54</f>
        <v>0.00480977125464537</v>
      </c>
    </row>
    <row r="56" customFormat="false" ht="17.35" hidden="false" customHeight="false" outlineLevel="0" collapsed="false">
      <c r="B56" s="9" t="n">
        <v>598.119</v>
      </c>
      <c r="C56" s="9" t="n">
        <f aca="false">SQRT(2*PI())*B56*B58*3</f>
        <v>4524.5478176284</v>
      </c>
      <c r="H56" s="0" t="s">
        <v>69</v>
      </c>
      <c r="I56" s="4" t="n">
        <f aca="false">0.06*I55</f>
        <v>0.00127705214960978</v>
      </c>
      <c r="J56" s="4" t="n">
        <f aca="false">0.06*J55</f>
        <v>0.000898530197921756</v>
      </c>
      <c r="K56" s="4" t="n">
        <f aca="false">0.06*K55</f>
        <v>0.000762041943874403</v>
      </c>
      <c r="L56" s="4" t="n">
        <f aca="false">0.06*L55</f>
        <v>0.000659858599150214</v>
      </c>
      <c r="M56" s="4" t="n">
        <f aca="false">0.06*M55</f>
        <v>0.000612547984284837</v>
      </c>
      <c r="N56" s="4" t="n">
        <f aca="false">0.06*N55</f>
        <v>0.000428525789456164</v>
      </c>
      <c r="O56" s="4" t="n">
        <f aca="false">0.06*O55</f>
        <v>0.000379636864860015</v>
      </c>
      <c r="P56" s="4" t="n">
        <f aca="false">0.06*P55</f>
        <v>0.000374143065259289</v>
      </c>
      <c r="Q56" s="4" t="n">
        <f aca="false">0.06*Q55</f>
        <v>0.000360145833007383</v>
      </c>
      <c r="R56" s="4" t="n">
        <f aca="false">0.06*R55</f>
        <v>0.000345214310218396</v>
      </c>
      <c r="S56" s="4" t="n">
        <f aca="false">0.06*S55</f>
        <v>0.000288586275278722</v>
      </c>
    </row>
    <row r="57" customFormat="false" ht="17.35" hidden="false" customHeight="false" outlineLevel="0" collapsed="false">
      <c r="B57" s="9" t="n">
        <v>867.924</v>
      </c>
      <c r="C57" s="9" t="n">
        <f aca="false">SQRT(2*PI())*B57*B59*3</f>
        <v>0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customFormat="false" ht="17.35" hidden="false" customHeight="false" outlineLevel="0" collapsed="false">
      <c r="B58" s="9" t="n">
        <v>1.00595</v>
      </c>
      <c r="C58" s="9" t="n">
        <f aca="false">SQRT(2*PI())*B58*B60*3</f>
        <v>14562.9682147351</v>
      </c>
      <c r="G58" s="0" t="s">
        <v>70</v>
      </c>
      <c r="H58" s="3"/>
      <c r="I58" s="9" t="n">
        <v>11905.3</v>
      </c>
      <c r="J58" s="9" t="n">
        <v>2194.21</v>
      </c>
      <c r="K58" s="9" t="n">
        <v>6226.64</v>
      </c>
      <c r="L58" s="9" t="n">
        <v>424.337</v>
      </c>
      <c r="M58" s="9" t="n">
        <v>573.326</v>
      </c>
      <c r="N58" s="9" t="n">
        <v>1379.63</v>
      </c>
      <c r="O58" s="9" t="n">
        <v>401.483</v>
      </c>
      <c r="P58" s="9" t="n">
        <v>1192.25</v>
      </c>
      <c r="Q58" s="9" t="n">
        <v>691.567</v>
      </c>
      <c r="R58" s="9" t="n">
        <v>981.895</v>
      </c>
      <c r="S58" s="9" t="n">
        <v>1093.78</v>
      </c>
    </row>
    <row r="59" customFormat="false" ht="17.35" hidden="false" customHeight="false" outlineLevel="0" collapsed="false">
      <c r="C59" s="9" t="n">
        <f aca="false">SQRT(2*PI())*B59*B61*3</f>
        <v>0</v>
      </c>
      <c r="I59" s="9" t="n">
        <v>122.174</v>
      </c>
      <c r="J59" s="9" t="n">
        <v>245.078</v>
      </c>
      <c r="K59" s="9" t="n">
        <v>344.381</v>
      </c>
      <c r="L59" s="9" t="n">
        <v>411.162</v>
      </c>
      <c r="M59" s="9" t="n">
        <v>444.084</v>
      </c>
      <c r="N59" s="9" t="n">
        <v>778.401</v>
      </c>
      <c r="O59" s="9" t="n">
        <v>867.109</v>
      </c>
      <c r="P59" s="9" t="n">
        <v>964.773</v>
      </c>
      <c r="Q59" s="9" t="n">
        <v>1086.87</v>
      </c>
      <c r="R59" s="9" t="n">
        <v>1112.92</v>
      </c>
      <c r="S59" s="9" t="n">
        <v>1408.76</v>
      </c>
    </row>
    <row r="60" customFormat="false" ht="17.35" hidden="false" customHeight="false" outlineLevel="0" collapsed="false">
      <c r="B60" s="9" t="n">
        <v>1925.14</v>
      </c>
      <c r="C60" s="9" t="n">
        <f aca="false">SQRT(2*PI())*B60*B62*3</f>
        <v>15318.2244916502</v>
      </c>
      <c r="I60" s="9" t="n">
        <v>0.577941</v>
      </c>
      <c r="J60" s="9" t="n">
        <v>0.628888</v>
      </c>
      <c r="K60" s="9" t="n">
        <v>0.679101</v>
      </c>
      <c r="L60" s="9" t="n">
        <v>0.769967</v>
      </c>
      <c r="M60" s="9" t="n">
        <v>0.739898</v>
      </c>
      <c r="N60" s="9" t="n">
        <v>0.890424</v>
      </c>
      <c r="O60" s="9" t="n">
        <v>0.914239</v>
      </c>
      <c r="P60" s="9" t="n">
        <v>1.02102</v>
      </c>
      <c r="Q60" s="9" t="n">
        <v>1.17117</v>
      </c>
      <c r="R60" s="9" t="n">
        <v>1.08632</v>
      </c>
      <c r="S60" s="9" t="n">
        <v>1.27961</v>
      </c>
    </row>
    <row r="61" customFormat="false" ht="17.35" hidden="false" customHeight="false" outlineLevel="0" collapsed="false">
      <c r="B61" s="9" t="n">
        <v>964.43</v>
      </c>
      <c r="C61" s="9" t="n">
        <f aca="false">SQRT(2*PI())*B61*B63*3</f>
        <v>0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customFormat="false" ht="17.35" hidden="false" customHeight="false" outlineLevel="0" collapsed="false">
      <c r="B62" s="9" t="n">
        <v>1.05812</v>
      </c>
      <c r="C62" s="9" t="n">
        <f aca="false">SQRT(2*PI())*B62*B64*3</f>
        <v>9537.58676611389</v>
      </c>
      <c r="H62" s="0" t="s">
        <v>67</v>
      </c>
      <c r="I62" s="4" t="n">
        <f aca="false">SQRT(2*PI())*I58*I60*3</f>
        <v>51741.0261482675</v>
      </c>
      <c r="J62" s="4" t="n">
        <f aca="false">SQRT(2*PI())*J58*J60*3</f>
        <v>10376.7818524385</v>
      </c>
      <c r="K62" s="4" t="n">
        <f aca="false">SQRT(2*PI())*K58*K60*3</f>
        <v>31797.9642046345</v>
      </c>
      <c r="L62" s="4" t="n">
        <f aca="false">SQRT(2*PI())*L58*L60*3</f>
        <v>2456.93803036044</v>
      </c>
      <c r="M62" s="4" t="n">
        <f aca="false">SQRT(2*PI())*M58*M60*3</f>
        <v>3189.9559028024</v>
      </c>
      <c r="N62" s="4" t="n">
        <f aca="false">SQRT(2*PI())*N58*N60*3</f>
        <v>9237.8450979215</v>
      </c>
      <c r="O62" s="4" t="n">
        <f aca="false">SQRT(2*PI())*O58*O60*3</f>
        <v>2760.18437605303</v>
      </c>
      <c r="P62" s="4" t="n">
        <f aca="false">SQRT(2*PI())*P58*P60*3</f>
        <v>9154.03922924707</v>
      </c>
      <c r="Q62" s="4" t="n">
        <f aca="false">SQRT(2*PI())*Q58*Q60*3</f>
        <v>6090.67448986606</v>
      </c>
      <c r="R62" s="4" t="n">
        <f aca="false">SQRT(2*PI())*R58*R60*3</f>
        <v>8021.1015136828</v>
      </c>
      <c r="S62" s="4" t="n">
        <f aca="false">SQRT(2*PI())*S58*S60*3</f>
        <v>10524.9197281746</v>
      </c>
    </row>
    <row r="63" customFormat="false" ht="17.35" hidden="false" customHeight="false" outlineLevel="0" collapsed="false">
      <c r="C63" s="9" t="n">
        <f aca="false">SQRT(2*PI())*B63*B65*3</f>
        <v>0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customFormat="false" ht="17.35" hidden="false" customHeight="false" outlineLevel="0" collapsed="false">
      <c r="B64" s="9" t="n">
        <v>1198.65</v>
      </c>
      <c r="C64" s="9" t="n">
        <f aca="false">SQRT(2*PI())*B64*B66*3</f>
        <v>10311.5039019194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customFormat="false" ht="17.35" hidden="false" customHeight="false" outlineLevel="0" collapsed="false">
      <c r="B65" s="9" t="n">
        <v>1086.07</v>
      </c>
      <c r="C65" s="9" t="n">
        <f aca="false">SQRT(2*PI())*B65*B67*3</f>
        <v>0</v>
      </c>
      <c r="H65" s="0" t="s">
        <v>50</v>
      </c>
      <c r="I65" s="4" t="n">
        <v>6411493.82140824</v>
      </c>
      <c r="J65" s="9" t="n">
        <v>1700459.17306769</v>
      </c>
      <c r="K65" s="9" t="n">
        <v>5944877.05623927</v>
      </c>
      <c r="L65" s="4" t="n">
        <v>500267.012657116</v>
      </c>
      <c r="M65" s="4" t="n">
        <v>706655.197251083</v>
      </c>
      <c r="N65" s="4" t="n">
        <v>2902894.6833108</v>
      </c>
      <c r="O65" s="4" t="n">
        <v>953423.678830827</v>
      </c>
      <c r="P65" s="4" t="n">
        <v>3275290.75551296</v>
      </c>
      <c r="Q65" s="4" t="n">
        <v>2290460.17902653</v>
      </c>
      <c r="R65" s="4" t="n">
        <v>3059929.17158882</v>
      </c>
      <c r="S65" s="4" t="n">
        <v>4711034.64834056</v>
      </c>
    </row>
    <row r="66" customFormat="false" ht="17.35" hidden="false" customHeight="false" outlineLevel="0" collapsed="false">
      <c r="B66" s="9" t="n">
        <v>1.14398</v>
      </c>
      <c r="C66" s="9" t="n">
        <f aca="false">SQRT(2*PI())*B66*B68*3</f>
        <v>1804.05079320195</v>
      </c>
      <c r="H66" s="0" t="s">
        <v>51</v>
      </c>
      <c r="I66" s="4" t="n">
        <f aca="false">I62/I65</f>
        <v>0.00807004226932296</v>
      </c>
      <c r="J66" s="4" t="n">
        <f aca="false">J62/J65</f>
        <v>0.00610234107162854</v>
      </c>
      <c r="K66" s="4" t="n">
        <f aca="false">K62/K65</f>
        <v>0.00534880097667652</v>
      </c>
      <c r="L66" s="4" t="n">
        <f aca="false">L62/L65</f>
        <v>0.0049112533271196</v>
      </c>
      <c r="M66" s="4" t="n">
        <f aca="false">M62/M65</f>
        <v>0.00451416180792479</v>
      </c>
      <c r="N66" s="4" t="n">
        <f aca="false">N62/N65</f>
        <v>0.00318228737371402</v>
      </c>
      <c r="O66" s="4" t="n">
        <f aca="false">O62/O65</f>
        <v>0.00289502394091765</v>
      </c>
      <c r="P66" s="4" t="n">
        <f aca="false">P62/P65</f>
        <v>0.0027948783520483</v>
      </c>
      <c r="Q66" s="4" t="n">
        <f aca="false">Q62/Q65</f>
        <v>0.00265914882329658</v>
      </c>
      <c r="R66" s="4" t="n">
        <f aca="false">R62/R65</f>
        <v>0.00262133567932162</v>
      </c>
      <c r="S66" s="4" t="n">
        <f aca="false">S62/S65</f>
        <v>0.00223409940996336</v>
      </c>
    </row>
    <row r="67" customFormat="false" ht="17.35" hidden="false" customHeight="false" outlineLevel="0" collapsed="false">
      <c r="C67" s="9" t="n">
        <f aca="false">SQRT(2*PI())*B67*B69*3</f>
        <v>0</v>
      </c>
      <c r="H67" s="0" t="s">
        <v>68</v>
      </c>
      <c r="I67" s="4" t="n">
        <f aca="false">2*I66</f>
        <v>0.0161400845386459</v>
      </c>
      <c r="J67" s="4" t="n">
        <f aca="false">2*J66</f>
        <v>0.0122046821432571</v>
      </c>
      <c r="K67" s="4" t="n">
        <f aca="false">2*K66</f>
        <v>0.010697601953353</v>
      </c>
      <c r="L67" s="4" t="n">
        <f aca="false">2*L66</f>
        <v>0.00982250665423919</v>
      </c>
      <c r="M67" s="4" t="n">
        <f aca="false">2*M66</f>
        <v>0.00902832361584958</v>
      </c>
      <c r="N67" s="4" t="n">
        <f aca="false">2*N66</f>
        <v>0.00636457474742803</v>
      </c>
      <c r="O67" s="4" t="n">
        <f aca="false">2*O66</f>
        <v>0.00579004788183531</v>
      </c>
      <c r="P67" s="4" t="n">
        <f aca="false">2*P66</f>
        <v>0.00558975670409659</v>
      </c>
      <c r="Q67" s="4" t="n">
        <f aca="false">2*Q66</f>
        <v>0.00531829764659316</v>
      </c>
      <c r="R67" s="4" t="n">
        <f aca="false">2*R66</f>
        <v>0.00524267135864323</v>
      </c>
      <c r="S67" s="4" t="n">
        <f aca="false">2*S66</f>
        <v>0.00446819881992672</v>
      </c>
    </row>
    <row r="68" customFormat="false" ht="17.35" hidden="false" customHeight="false" outlineLevel="0" collapsed="false">
      <c r="B68" s="9" t="n">
        <v>209.71</v>
      </c>
      <c r="C68" s="9" t="n">
        <f aca="false">SQRT(2*PI())*B68*B70*3</f>
        <v>1427.40445030543</v>
      </c>
      <c r="H68" s="0" t="s">
        <v>69</v>
      </c>
      <c r="I68" s="4" t="n">
        <f aca="false">0.06*I67</f>
        <v>0.000968405072318755</v>
      </c>
      <c r="J68" s="4" t="n">
        <f aca="false">0.06*J67</f>
        <v>0.000732280928595425</v>
      </c>
      <c r="K68" s="4" t="n">
        <f aca="false">0.06*K67</f>
        <v>0.000641856117201182</v>
      </c>
      <c r="L68" s="4" t="n">
        <f aca="false">0.06*L67</f>
        <v>0.000589350399254352</v>
      </c>
      <c r="M68" s="4" t="n">
        <f aca="false">0.06*M67</f>
        <v>0.000541699416950975</v>
      </c>
      <c r="N68" s="4" t="n">
        <f aca="false">0.06*N67</f>
        <v>0.000381874484845682</v>
      </c>
      <c r="O68" s="4" t="n">
        <f aca="false">0.06*O67</f>
        <v>0.000347402872910118</v>
      </c>
      <c r="P68" s="4" t="n">
        <f aca="false">0.06*P67</f>
        <v>0.000335385402245795</v>
      </c>
      <c r="Q68" s="4" t="n">
        <f aca="false">0.06*Q67</f>
        <v>0.00031909785879559</v>
      </c>
      <c r="R68" s="4" t="n">
        <f aca="false">0.06*R67</f>
        <v>0.000314560281518594</v>
      </c>
      <c r="S68" s="4" t="n">
        <f aca="false">0.06*S67</f>
        <v>0.000268091929195603</v>
      </c>
    </row>
    <row r="69" customFormat="false" ht="17.35" hidden="false" customHeight="false" outlineLevel="0" collapsed="false">
      <c r="B69" s="9" t="n">
        <v>1090.15</v>
      </c>
      <c r="C69" s="9" t="n">
        <f aca="false">SQRT(2*PI())*B69*B71*3</f>
        <v>0</v>
      </c>
      <c r="G69" s="0" t="s">
        <v>71</v>
      </c>
      <c r="H69" s="3"/>
      <c r="I69" s="3" t="n">
        <v>9354.59</v>
      </c>
      <c r="J69" s="3" t="n">
        <v>2215.37</v>
      </c>
      <c r="K69" s="3" t="n">
        <v>6485.03</v>
      </c>
      <c r="L69" s="3" t="n">
        <v>465.739</v>
      </c>
      <c r="M69" s="3" t="n">
        <v>610.871</v>
      </c>
      <c r="N69" s="3" t="n">
        <v>1738.76</v>
      </c>
      <c r="O69" s="3" t="n">
        <v>502.521</v>
      </c>
      <c r="P69" s="3" t="n">
        <v>1683.02</v>
      </c>
      <c r="Q69" s="3" t="n">
        <v>1093.26</v>
      </c>
      <c r="R69" s="9" t="n">
        <v>1386.86</v>
      </c>
      <c r="S69" s="9" t="n">
        <v>1740.46</v>
      </c>
    </row>
    <row r="70" customFormat="false" ht="17.35" hidden="false" customHeight="false" outlineLevel="0" collapsed="false">
      <c r="B70" s="9" t="n">
        <v>0.905142</v>
      </c>
      <c r="C70" s="9" t="n">
        <f aca="false">SQRT(2*PI())*B70*B72*3</f>
        <v>10566.1689878004</v>
      </c>
      <c r="I70" s="3" t="n">
        <v>122.653</v>
      </c>
      <c r="J70" s="3" t="n">
        <v>245.217</v>
      </c>
      <c r="K70" s="3" t="n">
        <v>344.634</v>
      </c>
      <c r="L70" s="3" t="n">
        <v>411.293</v>
      </c>
      <c r="M70" s="3" t="n">
        <v>444.172</v>
      </c>
      <c r="N70" s="3" t="n">
        <v>779.01</v>
      </c>
      <c r="O70" s="3" t="n">
        <v>867.203</v>
      </c>
      <c r="P70" s="3" t="n">
        <v>963.581</v>
      </c>
      <c r="Q70" s="3" t="n">
        <v>1085.1</v>
      </c>
      <c r="R70" s="9" t="n">
        <v>1111.28</v>
      </c>
      <c r="S70" s="9" t="n">
        <v>1409.46</v>
      </c>
    </row>
    <row r="71" customFormat="false" ht="17.35" hidden="false" customHeight="false" outlineLevel="0" collapsed="false">
      <c r="C71" s="9" t="n">
        <f aca="false">SQRT(2*PI())*B71*B73*3</f>
        <v>0</v>
      </c>
      <c r="I71" s="3" t="n">
        <v>0.87372</v>
      </c>
      <c r="J71" s="3" t="n">
        <v>0.89273</v>
      </c>
      <c r="K71" s="3" t="n">
        <v>0.925511</v>
      </c>
      <c r="L71" s="3" t="n">
        <v>0.921725</v>
      </c>
      <c r="M71" s="3" t="n">
        <v>0.953623</v>
      </c>
      <c r="N71" s="3" t="n">
        <v>1.0433</v>
      </c>
      <c r="O71" s="3" t="n">
        <v>1.04296</v>
      </c>
      <c r="P71" s="3" t="n">
        <v>1.09665</v>
      </c>
      <c r="Q71" s="3" t="n">
        <v>1.1516</v>
      </c>
      <c r="R71" s="9" t="n">
        <v>1.1356</v>
      </c>
      <c r="S71" s="9" t="n">
        <v>1.21113</v>
      </c>
    </row>
    <row r="72" customFormat="false" ht="17.35" hidden="false" customHeight="false" outlineLevel="0" collapsed="false">
      <c r="B72" s="9" t="n">
        <v>1552.35</v>
      </c>
      <c r="C72" s="9" t="n">
        <f aca="false">SQRT(2*PI())*B72*B74*3</f>
        <v>13204.4718403858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customFormat="false" ht="17.35" hidden="false" customHeight="false" outlineLevel="0" collapsed="false">
      <c r="B73" s="9" t="n">
        <v>1112.19</v>
      </c>
      <c r="C73" s="9" t="n">
        <f aca="false">SQRT(2*PI())*B73*B75*3</f>
        <v>0</v>
      </c>
      <c r="H73" s="0" t="s">
        <v>67</v>
      </c>
      <c r="I73" s="4" t="n">
        <f aca="false">SQRT(2*PI())*I69*I71*5</f>
        <v>102437.028817498</v>
      </c>
      <c r="J73" s="4" t="n">
        <f aca="false">SQRT(2*PI())*J69*J71*5</f>
        <v>24787.1353483758</v>
      </c>
      <c r="K73" s="4" t="n">
        <f aca="false">SQRT(2*PI())*K69*K71*5</f>
        <v>75223.4959188904</v>
      </c>
      <c r="L73" s="4" t="n">
        <f aca="false">SQRT(2*PI())*L69*L71*5</f>
        <v>5380.26803455173</v>
      </c>
      <c r="M73" s="4" t="n">
        <f aca="false">SQRT(2*PI())*M69*M71*5</f>
        <v>7301.06414199597</v>
      </c>
      <c r="N73" s="4" t="n">
        <f aca="false">SQRT(2*PI())*N69*N71*5</f>
        <v>22735.7239018966</v>
      </c>
      <c r="O73" s="4" t="n">
        <f aca="false">SQRT(2*PI())*O69*O71*5</f>
        <v>6568.73597895689</v>
      </c>
      <c r="P73" s="4" t="n">
        <f aca="false">SQRT(2*PI())*P69*P71*5</f>
        <v>23132.2170357927</v>
      </c>
      <c r="Q73" s="4" t="n">
        <f aca="false">SQRT(2*PI())*Q69*Q71*5</f>
        <v>15779.2026296779</v>
      </c>
      <c r="R73" s="4" t="n">
        <f aca="false">SQRT(2*PI())*R69*R71*5</f>
        <v>19738.6726522851</v>
      </c>
      <c r="S73" s="4" t="n">
        <f aca="false">SQRT(2*PI())*S69*S71*5</f>
        <v>26418.9009708236</v>
      </c>
    </row>
    <row r="74" customFormat="false" ht="17.35" hidden="false" customHeight="false" outlineLevel="0" collapsed="false">
      <c r="B74" s="9" t="n">
        <v>1.13115</v>
      </c>
      <c r="C74" s="9" t="n">
        <f aca="false">SQRT(2*PI())*B74*B76*3</f>
        <v>15286.0039072913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 customFormat="false" ht="17.35" hidden="false" customHeight="false" outlineLevel="0" collapsed="false">
      <c r="C75" s="9" t="n">
        <f aca="false">SQRT(2*PI())*B75*B77*3</f>
        <v>0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 customFormat="false" ht="17.35" hidden="false" customHeight="false" outlineLevel="0" collapsed="false">
      <c r="B76" s="9" t="n">
        <v>1797.06</v>
      </c>
      <c r="C76" s="9" t="n">
        <f aca="false">SQRT(2*PI())*B76*B78*3</f>
        <v>16994.6741402736</v>
      </c>
      <c r="H76" s="0" t="s">
        <v>50</v>
      </c>
      <c r="I76" s="4" t="n">
        <v>6411493.82140824</v>
      </c>
      <c r="J76" s="9" t="n">
        <v>1700459.17306769</v>
      </c>
      <c r="K76" s="9" t="n">
        <v>5944877.05623927</v>
      </c>
      <c r="L76" s="4" t="n">
        <v>500267.012657116</v>
      </c>
      <c r="M76" s="4" t="n">
        <v>706655.197251083</v>
      </c>
      <c r="N76" s="4" t="n">
        <v>2902894.6833108</v>
      </c>
      <c r="O76" s="4" t="n">
        <v>953423.678830827</v>
      </c>
      <c r="P76" s="4" t="n">
        <v>3275290.75551296</v>
      </c>
      <c r="Q76" s="4" t="n">
        <v>2290460.17902653</v>
      </c>
      <c r="R76" s="4" t="n">
        <v>3059929.17158882</v>
      </c>
      <c r="S76" s="4" t="n">
        <v>4711034.64834056</v>
      </c>
    </row>
    <row r="77" customFormat="false" ht="17.35" hidden="false" customHeight="false" outlineLevel="0" collapsed="false">
      <c r="B77" s="9" t="n">
        <v>1407.84</v>
      </c>
      <c r="C77" s="9" t="n">
        <f aca="false">SQRT(2*PI())*B77*B79*3</f>
        <v>0</v>
      </c>
      <c r="H77" s="0" t="s">
        <v>51</v>
      </c>
      <c r="I77" s="16" t="n">
        <f aca="false">I73/I76</f>
        <v>0.0159770923393011</v>
      </c>
      <c r="J77" s="4" t="n">
        <f aca="false">J73/J76</f>
        <v>0.014576730650733</v>
      </c>
      <c r="K77" s="4" t="n">
        <f aca="false">K73/K76</f>
        <v>0.0126534990054911</v>
      </c>
      <c r="L77" s="4" t="n">
        <f aca="false">L73/L76</f>
        <v>0.0107547927375323</v>
      </c>
      <c r="M77" s="4" t="n">
        <f aca="false">M73/M76</f>
        <v>0.0103318622298363</v>
      </c>
      <c r="N77" s="4" t="n">
        <f aca="false">N73/N76</f>
        <v>0.00783208706557902</v>
      </c>
      <c r="O77" s="4" t="n">
        <f aca="false">O73/O76</f>
        <v>0.00688962957896332</v>
      </c>
      <c r="P77" s="4" t="n">
        <f aca="false">P73/P76</f>
        <v>0.00706264535350231</v>
      </c>
      <c r="Q77" s="4" t="n">
        <f aca="false">Q73/Q76</f>
        <v>0.0068890971230001</v>
      </c>
      <c r="R77" s="4" t="n">
        <f aca="false">R73/R76</f>
        <v>0.00645069592968261</v>
      </c>
      <c r="S77" s="4" t="n">
        <f aca="false">S73/S76</f>
        <v>0.00560787660097757</v>
      </c>
    </row>
    <row r="78" customFormat="false" ht="17.35" hidden="false" customHeight="false" outlineLevel="0" collapsed="false">
      <c r="B78" s="9" t="n">
        <v>1.25759</v>
      </c>
      <c r="H78" s="0" t="s">
        <v>68</v>
      </c>
      <c r="I78" s="4" t="n">
        <f aca="false">1.25*I77</f>
        <v>0.0199713654241264</v>
      </c>
      <c r="J78" s="4" t="n">
        <f aca="false">1.25*J77</f>
        <v>0.0182209133134162</v>
      </c>
      <c r="K78" s="4" t="n">
        <f aca="false">1.25*K77</f>
        <v>0.0158168737568639</v>
      </c>
      <c r="L78" s="4" t="n">
        <f aca="false">1.25*L77</f>
        <v>0.0134434909219154</v>
      </c>
      <c r="M78" s="4" t="n">
        <f aca="false">1.25*M77</f>
        <v>0.0129148277872953</v>
      </c>
      <c r="N78" s="4" t="n">
        <f aca="false">1.25*N77</f>
        <v>0.00979010883197378</v>
      </c>
      <c r="O78" s="4" t="n">
        <f aca="false">1.25*O77</f>
        <v>0.00861203697370415</v>
      </c>
      <c r="P78" s="4" t="n">
        <f aca="false">1.25*P77</f>
        <v>0.00882830669187789</v>
      </c>
      <c r="Q78" s="4" t="n">
        <f aca="false">1.25*Q77</f>
        <v>0.00861137140375012</v>
      </c>
      <c r="R78" s="4" t="n">
        <f aca="false">1.25*R77</f>
        <v>0.00806336991210326</v>
      </c>
      <c r="S78" s="4" t="n">
        <f aca="false">1.25*S77</f>
        <v>0.00700984575122197</v>
      </c>
    </row>
    <row r="79" customFormat="false" ht="17.35" hidden="false" customHeight="false" outlineLevel="0" collapsed="false">
      <c r="H79" s="0" t="s">
        <v>69</v>
      </c>
      <c r="I79" s="4" t="n">
        <f aca="false">0.06*I78</f>
        <v>0.00119828192544759</v>
      </c>
      <c r="J79" s="4" t="n">
        <f aca="false">0.06*J78</f>
        <v>0.00109325479880497</v>
      </c>
      <c r="K79" s="4" t="n">
        <f aca="false">0.06*K78</f>
        <v>0.000949012425411831</v>
      </c>
      <c r="L79" s="4" t="n">
        <f aca="false">0.06*L78</f>
        <v>0.000806609455314922</v>
      </c>
      <c r="M79" s="4" t="n">
        <f aca="false">0.06*M78</f>
        <v>0.00077488966723772</v>
      </c>
      <c r="N79" s="4" t="n">
        <f aca="false">0.06*N78</f>
        <v>0.000587406529918427</v>
      </c>
      <c r="O79" s="4" t="n">
        <f aca="false">0.06*O78</f>
        <v>0.000516722218422249</v>
      </c>
      <c r="P79" s="4" t="n">
        <f aca="false">0.06*P78</f>
        <v>0.000529698401512674</v>
      </c>
      <c r="Q79" s="4" t="n">
        <f aca="false">0.06*Q78</f>
        <v>0.000516682284225007</v>
      </c>
      <c r="R79" s="4" t="n">
        <f aca="false">0.06*R78</f>
        <v>0.000483802194726196</v>
      </c>
      <c r="S79" s="4" t="n">
        <f aca="false">0.06*S78</f>
        <v>0.000420590745073318</v>
      </c>
    </row>
    <row r="80" customFormat="false" ht="17.35" hidden="false" customHeight="false" outlineLevel="0" collapsed="false"/>
    <row r="81" customFormat="false" ht="17.35" hidden="false" customHeight="false" outlineLevel="0" collapsed="false"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</row>
    <row r="82" customFormat="false" ht="17.35" hidden="false" customHeight="false" outlineLevel="0" collapsed="false"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</row>
    <row r="83" customFormat="false" ht="17.35" hidden="false" customHeight="false" outlineLevel="0" collapsed="false"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 customFormat="false" ht="17.35" hidden="false" customHeight="false" outlineLevel="0" collapsed="false"/>
    <row r="85" customFormat="false" ht="17.35" hidden="false" customHeight="false" outlineLevel="0" collapsed="false"/>
    <row r="86" customFormat="false" ht="17.35" hidden="false" customHeight="false" outlineLevel="0" collapsed="false">
      <c r="H86" s="0" t="s">
        <v>72</v>
      </c>
      <c r="I86" s="4" t="n">
        <f aca="false">I78+I67+I55</f>
        <v>0.0573956524562686</v>
      </c>
      <c r="J86" s="4" t="n">
        <f aca="false">J78+J67+J55</f>
        <v>0.0454010987553692</v>
      </c>
      <c r="K86" s="4" t="n">
        <f aca="false">K78+K67+K55</f>
        <v>0.0392151747747903</v>
      </c>
      <c r="L86" s="4" t="n">
        <f aca="false">L78+L67+L55</f>
        <v>0.0342636408953248</v>
      </c>
      <c r="M86" s="4" t="n">
        <f aca="false">M78+M67+M55</f>
        <v>0.0321522844745589</v>
      </c>
      <c r="N86" s="4" t="n">
        <f aca="false">N78+N67+N55</f>
        <v>0.0232967800703379</v>
      </c>
      <c r="O86" s="4" t="n">
        <f aca="false">O78+O67+O55</f>
        <v>0.0207293659365397</v>
      </c>
      <c r="P86" s="4" t="n">
        <f aca="false">P78+P67+P55</f>
        <v>0.020653781150296</v>
      </c>
      <c r="Q86" s="4" t="n">
        <f aca="false">Q78+Q67+Q55</f>
        <v>0.0199320996004663</v>
      </c>
      <c r="R86" s="4" t="n">
        <f aca="false">R78+R67+R55</f>
        <v>0.0190596131077198</v>
      </c>
      <c r="S86" s="4" t="n">
        <f aca="false">S78+S67+S55</f>
        <v>0.0162878158257941</v>
      </c>
    </row>
    <row r="87" customFormat="false" ht="17.35" hidden="false" customHeight="false" outlineLevel="0" collapsed="false">
      <c r="H87" s="0" t="s">
        <v>73</v>
      </c>
      <c r="I87" s="4" t="n">
        <f aca="false">0.06*I86</f>
        <v>0.00344373914737612</v>
      </c>
      <c r="J87" s="4" t="n">
        <f aca="false">0.06*J86</f>
        <v>0.00272406592532215</v>
      </c>
      <c r="K87" s="4" t="n">
        <f aca="false">0.06*K86</f>
        <v>0.00235291048648742</v>
      </c>
      <c r="L87" s="4" t="n">
        <f aca="false">0.06*L86</f>
        <v>0.00205581845371949</v>
      </c>
      <c r="M87" s="4" t="n">
        <f aca="false">0.06*M86</f>
        <v>0.00192913706847353</v>
      </c>
      <c r="N87" s="4" t="n">
        <f aca="false">0.06*N86</f>
        <v>0.00139780680422027</v>
      </c>
      <c r="O87" s="4" t="n">
        <f aca="false">0.06*O86</f>
        <v>0.00124376195619238</v>
      </c>
      <c r="P87" s="4" t="n">
        <f aca="false">0.06*P86</f>
        <v>0.00123922686901776</v>
      </c>
      <c r="Q87" s="4" t="n">
        <f aca="false">0.06*Q86</f>
        <v>0.00119592597602798</v>
      </c>
      <c r="R87" s="4" t="n">
        <f aca="false">0.06*R86</f>
        <v>0.00114357678646318</v>
      </c>
      <c r="S87" s="4" t="n">
        <f aca="false">0.06*S86</f>
        <v>0.000977268949547644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1657</TotalTime>
  <Application>LibreOffice/25.8.2.2$Linux_X86_64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2025-06-11T15:48:47Z</dcterms:created>
  <dc:creator>Emile Cantacuzene</dc:creator>
  <dc:description/>
  <dc:language>en-US</dc:language>
  <cp:lastModifiedBy/>
  <dcterms:modified xsi:type="dcterms:W3CDTF">2025-12-04T13:49:27Z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