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ntacuzene/phd/analysis/monster25/divers/"/>
    </mc:Choice>
  </mc:AlternateContent>
  <xr:revisionPtr revIDLastSave="0" documentId="13_ncr:1_{744A1E8D-D33C-9841-B3EE-F98B164A4876}" xr6:coauthVersionLast="47" xr6:coauthVersionMax="47" xr10:uidLastSave="{00000000-0000-0000-0000-000000000000}"/>
  <bookViews>
    <workbookView xWindow="0" yWindow="500" windowWidth="28800" windowHeight="16280" activeTab="5" xr2:uid="{8C0289FC-EB03-0B47-AFC8-384B2146D15F}"/>
  </bookViews>
  <sheets>
    <sheet name="distancescells" sheetId="1" r:id="rId1"/>
    <sheet name="time_alignement" sheetId="2" r:id="rId2"/>
    <sheet name="efficiency_monster" sheetId="3" r:id="rId3"/>
    <sheet name="eff_mrbig" sheetId="4" r:id="rId4"/>
    <sheet name="eff_beta" sheetId="6" r:id="rId5"/>
    <sheet name="Pn" sheetId="7" r:id="rId6"/>
    <sheet name="effg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7" l="1"/>
  <c r="K30" i="7"/>
  <c r="I32" i="7" s="1"/>
  <c r="J16" i="7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3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14" i="3"/>
  <c r="A16" i="3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J87" i="5"/>
  <c r="K87" i="5"/>
  <c r="L87" i="5"/>
  <c r="M87" i="5"/>
  <c r="N87" i="5"/>
  <c r="O87" i="5"/>
  <c r="P87" i="5"/>
  <c r="Q87" i="5"/>
  <c r="R87" i="5"/>
  <c r="S87" i="5"/>
  <c r="I87" i="5"/>
  <c r="J79" i="5"/>
  <c r="K79" i="5"/>
  <c r="L79" i="5"/>
  <c r="M79" i="5"/>
  <c r="N79" i="5"/>
  <c r="O79" i="5"/>
  <c r="P79" i="5"/>
  <c r="Q79" i="5"/>
  <c r="R79" i="5"/>
  <c r="S79" i="5"/>
  <c r="I79" i="5"/>
  <c r="J68" i="5"/>
  <c r="K68" i="5"/>
  <c r="L68" i="5"/>
  <c r="M68" i="5"/>
  <c r="N68" i="5"/>
  <c r="O68" i="5"/>
  <c r="P68" i="5"/>
  <c r="Q68" i="5"/>
  <c r="R68" i="5"/>
  <c r="S68" i="5"/>
  <c r="I68" i="5"/>
  <c r="J56" i="5"/>
  <c r="K56" i="5"/>
  <c r="L56" i="5"/>
  <c r="M56" i="5"/>
  <c r="N56" i="5"/>
  <c r="O56" i="5"/>
  <c r="P56" i="5"/>
  <c r="Q56" i="5"/>
  <c r="R56" i="5"/>
  <c r="S56" i="5"/>
  <c r="I56" i="5"/>
  <c r="J86" i="5"/>
  <c r="K86" i="5"/>
  <c r="L86" i="5"/>
  <c r="M86" i="5"/>
  <c r="N86" i="5"/>
  <c r="O86" i="5"/>
  <c r="P86" i="5"/>
  <c r="Q86" i="5"/>
  <c r="R86" i="5"/>
  <c r="S86" i="5"/>
  <c r="I86" i="5"/>
  <c r="J78" i="5"/>
  <c r="K78" i="5"/>
  <c r="L78" i="5"/>
  <c r="M78" i="5"/>
  <c r="N78" i="5"/>
  <c r="O78" i="5"/>
  <c r="P78" i="5"/>
  <c r="Q78" i="5"/>
  <c r="R78" i="5"/>
  <c r="S78" i="5"/>
  <c r="I78" i="5"/>
  <c r="J67" i="5"/>
  <c r="K67" i="5"/>
  <c r="L67" i="5"/>
  <c r="M67" i="5"/>
  <c r="N67" i="5"/>
  <c r="O67" i="5"/>
  <c r="P67" i="5"/>
  <c r="Q67" i="5"/>
  <c r="R67" i="5"/>
  <c r="S67" i="5"/>
  <c r="I67" i="5"/>
  <c r="J55" i="5"/>
  <c r="K55" i="5"/>
  <c r="L55" i="5"/>
  <c r="M55" i="5"/>
  <c r="N55" i="5"/>
  <c r="O55" i="5"/>
  <c r="P55" i="5"/>
  <c r="Q55" i="5"/>
  <c r="R55" i="5"/>
  <c r="S55" i="5"/>
  <c r="I55" i="5"/>
  <c r="S73" i="5"/>
  <c r="R73" i="5"/>
  <c r="Q73" i="5"/>
  <c r="P73" i="5"/>
  <c r="O73" i="5"/>
  <c r="N73" i="5"/>
  <c r="M73" i="5"/>
  <c r="L73" i="5"/>
  <c r="K73" i="5"/>
  <c r="J73" i="5"/>
  <c r="I73" i="5"/>
  <c r="G15" i="7" l="1"/>
  <c r="D39" i="7"/>
  <c r="C29" i="7"/>
  <c r="E29" i="7" s="1"/>
  <c r="K23" i="6"/>
  <c r="I18" i="6"/>
  <c r="H18" i="6"/>
  <c r="H8" i="6"/>
  <c r="D8" i="6"/>
  <c r="I8" i="6"/>
  <c r="I23" i="6"/>
  <c r="H23" i="6"/>
  <c r="D18" i="6"/>
  <c r="D23" i="6" s="1"/>
  <c r="F23" i="6"/>
  <c r="F18" i="6"/>
  <c r="F8" i="6"/>
  <c r="O26" i="4"/>
  <c r="O27" i="4"/>
  <c r="O28" i="4"/>
  <c r="O29" i="4"/>
  <c r="O30" i="4"/>
  <c r="O25" i="4"/>
  <c r="K77" i="5"/>
  <c r="L77" i="5"/>
  <c r="M77" i="5"/>
  <c r="N77" i="5"/>
  <c r="O77" i="5"/>
  <c r="P77" i="5"/>
  <c r="Q77" i="5"/>
  <c r="R77" i="5"/>
  <c r="S77" i="5"/>
  <c r="I77" i="5"/>
  <c r="J66" i="5"/>
  <c r="K66" i="5"/>
  <c r="L66" i="5"/>
  <c r="M66" i="5"/>
  <c r="N66" i="5"/>
  <c r="O66" i="5"/>
  <c r="P66" i="5"/>
  <c r="Q66" i="5"/>
  <c r="S66" i="5"/>
  <c r="I66" i="5"/>
  <c r="J54" i="5"/>
  <c r="K54" i="5"/>
  <c r="L54" i="5"/>
  <c r="M54" i="5"/>
  <c r="N54" i="5"/>
  <c r="O54" i="5"/>
  <c r="P54" i="5"/>
  <c r="Q54" i="5"/>
  <c r="R54" i="5"/>
  <c r="S54" i="5"/>
  <c r="I54" i="5"/>
  <c r="J77" i="5"/>
  <c r="I62" i="5"/>
  <c r="S62" i="5"/>
  <c r="R62" i="5"/>
  <c r="R66" i="5" s="1"/>
  <c r="Q62" i="5"/>
  <c r="P62" i="5"/>
  <c r="O62" i="5"/>
  <c r="N62" i="5"/>
  <c r="M62" i="5"/>
  <c r="L62" i="5"/>
  <c r="K62" i="5"/>
  <c r="J62" i="5"/>
  <c r="L32" i="5"/>
  <c r="S50" i="5"/>
  <c r="J50" i="5"/>
  <c r="K50" i="5"/>
  <c r="L50" i="5"/>
  <c r="M50" i="5"/>
  <c r="N50" i="5"/>
  <c r="O50" i="5"/>
  <c r="P50" i="5"/>
  <c r="Q50" i="5"/>
  <c r="R50" i="5"/>
  <c r="I50" i="5"/>
  <c r="L34" i="5"/>
  <c r="L25" i="5"/>
  <c r="L26" i="5"/>
  <c r="L27" i="5"/>
  <c r="L28" i="5"/>
  <c r="L29" i="5"/>
  <c r="L30" i="5"/>
  <c r="L31" i="5"/>
  <c r="L33" i="5"/>
  <c r="L24" i="5"/>
  <c r="N8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32" i="5"/>
  <c r="N26" i="4"/>
  <c r="N27" i="4"/>
  <c r="M27" i="4"/>
  <c r="M26" i="4"/>
  <c r="M25" i="4"/>
  <c r="K27" i="4"/>
  <c r="K26" i="4"/>
  <c r="K25" i="4"/>
  <c r="N25" i="4" s="1"/>
  <c r="M6" i="4"/>
  <c r="M5" i="4"/>
  <c r="M30" i="4" s="1"/>
  <c r="N30" i="4" s="1"/>
  <c r="M4" i="4"/>
  <c r="M28" i="4" s="1"/>
  <c r="N28" i="4" s="1"/>
  <c r="K30" i="4"/>
  <c r="K29" i="4"/>
  <c r="K28" i="4"/>
  <c r="B8" i="3"/>
  <c r="B9" i="3" s="1"/>
  <c r="D15" i="7" l="1"/>
  <c r="C21" i="3"/>
  <c r="C29" i="3"/>
  <c r="C15" i="3"/>
  <c r="C23" i="3"/>
  <c r="C31" i="3"/>
  <c r="C14" i="3"/>
  <c r="C22" i="3"/>
  <c r="C30" i="3"/>
  <c r="C13" i="3"/>
  <c r="C16" i="3"/>
  <c r="C24" i="3"/>
  <c r="C32" i="3"/>
  <c r="C17" i="3"/>
  <c r="C25" i="3"/>
  <c r="C33" i="3"/>
  <c r="C18" i="3"/>
  <c r="C26" i="3"/>
  <c r="C34" i="3"/>
  <c r="C19" i="3"/>
  <c r="C27" i="3"/>
  <c r="C35" i="3"/>
  <c r="C20" i="3"/>
  <c r="C28" i="3"/>
  <c r="C36" i="3"/>
  <c r="C24" i="7"/>
  <c r="D24" i="7" s="1"/>
  <c r="M29" i="4"/>
  <c r="N29" i="4" s="1"/>
</calcChain>
</file>

<file path=xl/sharedStrings.xml><?xml version="1.0" encoding="utf-8"?>
<sst xmlns="http://schemas.openxmlformats.org/spreadsheetml/2006/main" count="95" uniqueCount="73">
  <si>
    <t>RUN29</t>
  </si>
  <si>
    <t>Plastic</t>
  </si>
  <si>
    <t>MrBig</t>
  </si>
  <si>
    <t>Plastic better</t>
  </si>
  <si>
    <t> -0.104158</t>
  </si>
  <si>
    <t>Date mesure :</t>
  </si>
  <si>
    <t>25 fev 2025</t>
  </si>
  <si>
    <t>Date source creation</t>
  </si>
  <si>
    <t xml:space="preserve">15 fev 2022 </t>
  </si>
  <si>
    <t>delta t (s)</t>
  </si>
  <si>
    <t>A0(bq)</t>
  </si>
  <si>
    <t>diff temps dates (s)</t>
  </si>
  <si>
    <t>Némis</t>
  </si>
  <si>
    <t>t1/2 (s)</t>
  </si>
  <si>
    <t>A(t) (bq)</t>
  </si>
  <si>
    <t>Némis tot</t>
  </si>
  <si>
    <t>Branching maxw</t>
  </si>
  <si>
    <t>Energy maxw</t>
  </si>
  <si>
    <t>E</t>
  </si>
  <si>
    <t>eff</t>
  </si>
  <si>
    <t>Eg</t>
  </si>
  <si>
    <t>Ech</t>
  </si>
  <si>
    <t>Sig</t>
  </si>
  <si>
    <t>resid</t>
  </si>
  <si>
    <t>fwhm</t>
  </si>
  <si>
    <t>Binning :</t>
  </si>
  <si>
    <t>Channel</t>
  </si>
  <si>
    <t>Int</t>
  </si>
  <si>
    <t>Inte</t>
  </si>
  <si>
    <t>time cs</t>
  </si>
  <si>
    <t>time co</t>
  </si>
  <si>
    <t>time source cs</t>
  </si>
  <si>
    <t>time source co</t>
  </si>
  <si>
    <t>half life cs</t>
  </si>
  <si>
    <t>half life co</t>
  </si>
  <si>
    <t>A cs</t>
  </si>
  <si>
    <t>A co</t>
  </si>
  <si>
    <t>Branching</t>
  </si>
  <si>
    <t>Emis</t>
  </si>
  <si>
    <t>Eff</t>
  </si>
  <si>
    <t>time eu</t>
  </si>
  <si>
    <t>time source eu</t>
  </si>
  <si>
    <t>half life eu</t>
  </si>
  <si>
    <t>A eu</t>
  </si>
  <si>
    <t>A0 cs co</t>
  </si>
  <si>
    <t>A0 eu</t>
  </si>
  <si>
    <t>Ge43</t>
  </si>
  <si>
    <t>Ge44</t>
  </si>
  <si>
    <t>Ge45</t>
  </si>
  <si>
    <t>BetaCond</t>
  </si>
  <si>
    <t>Single</t>
  </si>
  <si>
    <t>Ngammaobs</t>
  </si>
  <si>
    <t>BR</t>
  </si>
  <si>
    <t>EffGamma</t>
  </si>
  <si>
    <t>Nbeta</t>
  </si>
  <si>
    <t>Effbeta</t>
  </si>
  <si>
    <t>EffMonster</t>
  </si>
  <si>
    <t>Nneutobs</t>
  </si>
  <si>
    <t>Pn</t>
  </si>
  <si>
    <t>Eff corrigée</t>
  </si>
  <si>
    <t>Incert</t>
  </si>
  <si>
    <t>Eff tot</t>
  </si>
  <si>
    <t>Incert tot</t>
  </si>
  <si>
    <t>uncert1</t>
  </si>
  <si>
    <t>uncert2</t>
  </si>
  <si>
    <t>error eff</t>
  </si>
  <si>
    <t>error N emis</t>
  </si>
  <si>
    <t>Nrecus</t>
  </si>
  <si>
    <t>error Nrecus</t>
  </si>
  <si>
    <t>Inte ibu 0,5</t>
  </si>
  <si>
    <t>n_obs/ibu</t>
  </si>
  <si>
    <t>prop pnobs/pnlit</t>
  </si>
  <si>
    <t>corr 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</si>
</sst>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E+00"/>
    <numFmt numFmtId="166" formatCode="0.0"/>
  </numFmts>
  <fonts count="7">
    <font>
      <sz val="14"/>
      <color theme="1"/>
      <name val="Menlo"/>
      <family val="2"/>
    </font>
    <font>
      <sz val="14"/>
      <color rgb="FF000000"/>
      <name val="Menlo"/>
      <family val="2"/>
    </font>
    <font>
      <sz val="14"/>
      <color theme="1"/>
      <name val="Menlo Regular"/>
    </font>
    <font>
      <sz val="14"/>
      <color rgb="FF000000"/>
      <name val="Menlo Regular"/>
    </font>
    <font>
      <b/>
      <sz val="14"/>
      <color rgb="FF4CFB46"/>
      <name val="Menlo"/>
      <family val="2"/>
    </font>
    <font>
      <sz val="14"/>
      <color theme="1"/>
      <name val="Menlo"/>
      <family val="2"/>
    </font>
    <font>
      <sz val="14"/>
      <color rgb="FFFF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1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0" fontId="1" fillId="0" borderId="0" xfId="0" applyFont="1"/>
    <xf numFmtId="11" fontId="0" fillId="0" borderId="0" xfId="0" applyNumberFormat="1"/>
    <xf numFmtId="1" fontId="0" fillId="0" borderId="0" xfId="0" applyNumberFormat="1"/>
    <xf numFmtId="0" fontId="2" fillId="0" borderId="0" xfId="0" applyFont="1"/>
    <xf numFmtId="11" fontId="1" fillId="0" borderId="0" xfId="0" applyNumberFormat="1" applyFont="1"/>
    <xf numFmtId="0" fontId="3" fillId="0" borderId="0" xfId="0" applyFont="1"/>
    <xf numFmtId="11" fontId="2" fillId="0" borderId="0" xfId="0" applyNumberFormat="1" applyFont="1"/>
    <xf numFmtId="10" fontId="2" fillId="0" borderId="0" xfId="0" applyNumberFormat="1" applyFont="1"/>
    <xf numFmtId="0" fontId="4" fillId="0" borderId="0" xfId="0" applyFont="1"/>
    <xf numFmtId="1" fontId="1" fillId="0" borderId="0" xfId="0" applyNumberFormat="1" applyFont="1"/>
    <xf numFmtId="11" fontId="3" fillId="0" borderId="0" xfId="0" applyNumberFormat="1" applyFont="1"/>
    <xf numFmtId="10" fontId="3" fillId="0" borderId="0" xfId="0" applyNumberFormat="1" applyFont="1"/>
    <xf numFmtId="164" fontId="0" fillId="0" borderId="0" xfId="1" applyNumberFormat="1" applyFont="1"/>
    <xf numFmtId="9" fontId="6" fillId="0" borderId="0" xfId="1" applyFont="1"/>
    <xf numFmtId="165" fontId="0" fillId="0" borderId="0" xfId="0" applyNumberFormat="1"/>
    <xf numFmtId="164" fontId="0" fillId="0" borderId="0" xfId="1" applyNumberFormat="1" applyFont="1" applyAlignment="1"/>
    <xf numFmtId="2" fontId="0" fillId="0" borderId="0" xfId="1" applyNumberFormat="1" applyFont="1"/>
    <xf numFmtId="166" fontId="0" fillId="2" borderId="0" xfId="0" applyNumberForma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distancescells!$A$1:$A$39</c:f>
              <c:numCache>
                <c:formatCode>General</c:formatCode>
                <c:ptCount val="39"/>
                <c:pt idx="0">
                  <c:v>151</c:v>
                </c:pt>
                <c:pt idx="1">
                  <c:v>152</c:v>
                </c:pt>
                <c:pt idx="2">
                  <c:v>155</c:v>
                </c:pt>
                <c:pt idx="3">
                  <c:v>157</c:v>
                </c:pt>
                <c:pt idx="4">
                  <c:v>160</c:v>
                </c:pt>
                <c:pt idx="5">
                  <c:v>162</c:v>
                </c:pt>
                <c:pt idx="6">
                  <c:v>163</c:v>
                </c:pt>
                <c:pt idx="7">
                  <c:v>152</c:v>
                </c:pt>
                <c:pt idx="8">
                  <c:v>152</c:v>
                </c:pt>
                <c:pt idx="9">
                  <c:v>154</c:v>
                </c:pt>
                <c:pt idx="10">
                  <c:v>156</c:v>
                </c:pt>
                <c:pt idx="11">
                  <c:v>157</c:v>
                </c:pt>
                <c:pt idx="12">
                  <c:v>158</c:v>
                </c:pt>
                <c:pt idx="13">
                  <c:v>161</c:v>
                </c:pt>
                <c:pt idx="14">
                  <c:v>152</c:v>
                </c:pt>
                <c:pt idx="15">
                  <c:v>153</c:v>
                </c:pt>
                <c:pt idx="16">
                  <c:v>153</c:v>
                </c:pt>
                <c:pt idx="17">
                  <c:v>154</c:v>
                </c:pt>
                <c:pt idx="18">
                  <c:v>155</c:v>
                </c:pt>
                <c:pt idx="19">
                  <c:v>157</c:v>
                </c:pt>
                <c:pt idx="20">
                  <c:v>158</c:v>
                </c:pt>
                <c:pt idx="21">
                  <c:v>152</c:v>
                </c:pt>
                <c:pt idx="22">
                  <c:v>152</c:v>
                </c:pt>
                <c:pt idx="23">
                  <c:v>154</c:v>
                </c:pt>
                <c:pt idx="24">
                  <c:v>154</c:v>
                </c:pt>
                <c:pt idx="25">
                  <c:v>155</c:v>
                </c:pt>
                <c:pt idx="26">
                  <c:v>153</c:v>
                </c:pt>
                <c:pt idx="27">
                  <c:v>154</c:v>
                </c:pt>
                <c:pt idx="28">
                  <c:v>154</c:v>
                </c:pt>
                <c:pt idx="29">
                  <c:v>155</c:v>
                </c:pt>
                <c:pt idx="30">
                  <c:v>156</c:v>
                </c:pt>
                <c:pt idx="31">
                  <c:v>152</c:v>
                </c:pt>
                <c:pt idx="32">
                  <c:v>153</c:v>
                </c:pt>
                <c:pt idx="33">
                  <c:v>154</c:v>
                </c:pt>
                <c:pt idx="34">
                  <c:v>156</c:v>
                </c:pt>
                <c:pt idx="35">
                  <c:v>157</c:v>
                </c:pt>
                <c:pt idx="36">
                  <c:v>154</c:v>
                </c:pt>
                <c:pt idx="37">
                  <c:v>156</c:v>
                </c:pt>
                <c:pt idx="38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6D-EC47-AC2D-558DA6947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781920"/>
        <c:axId val="510783648"/>
      </c:scatterChart>
      <c:valAx>
        <c:axId val="51078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10783648"/>
        <c:crosses val="autoZero"/>
        <c:crossBetween val="midCat"/>
      </c:valAx>
      <c:valAx>
        <c:axId val="51078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10781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2.2621692452564693E-4</c:v>
                  </c:pt>
                  <c:pt idx="2">
                    <c:v>2.6282786810158306E-4</c:v>
                  </c:pt>
                  <c:pt idx="3">
                    <c:v>2.5874273874318399E-4</c:v>
                  </c:pt>
                  <c:pt idx="4">
                    <c:v>2.4348627209113039E-4</c:v>
                  </c:pt>
                  <c:pt idx="5">
                    <c:v>2.3432267347303726E-4</c:v>
                  </c:pt>
                  <c:pt idx="6">
                    <c:v>2.1583978155941347E-4</c:v>
                  </c:pt>
                  <c:pt idx="7">
                    <c:v>2.0840412244077448E-4</c:v>
                  </c:pt>
                  <c:pt idx="8">
                    <c:v>2.0002807946606862E-4</c:v>
                  </c:pt>
                  <c:pt idx="9">
                    <c:v>1.9769665107162787E-4</c:v>
                  </c:pt>
                  <c:pt idx="10">
                    <c:v>1.7849323978812751E-4</c:v>
                  </c:pt>
                  <c:pt idx="11">
                    <c:v>1.7395017650611764E-4</c:v>
                  </c:pt>
                  <c:pt idx="12">
                    <c:v>1.6765368106294156E-4</c:v>
                  </c:pt>
                  <c:pt idx="13">
                    <c:v>1.7201739949637893E-4</c:v>
                  </c:pt>
                  <c:pt idx="14">
                    <c:v>1.6515096902213109E-4</c:v>
                  </c:pt>
                  <c:pt idx="15">
                    <c:v>1.5524309243884768E-4</c:v>
                  </c:pt>
                  <c:pt idx="16">
                    <c:v>1.55666463177797E-4</c:v>
                  </c:pt>
                  <c:pt idx="17">
                    <c:v>1.4400634492908054E-4</c:v>
                  </c:pt>
                  <c:pt idx="18">
                    <c:v>1.5548708397451443E-4</c:v>
                  </c:pt>
                  <c:pt idx="19">
                    <c:v>1.4790323089841769E-4</c:v>
                  </c:pt>
                  <c:pt idx="20">
                    <c:v>1.4671296905176484E-4</c:v>
                  </c:pt>
                  <c:pt idx="21">
                    <c:v>1.4262571151334397E-4</c:v>
                  </c:pt>
                  <c:pt idx="22">
                    <c:v>1.3475019109731947E-4</c:v>
                  </c:pt>
                  <c:pt idx="23">
                    <c:v>1.4697222995948837E-4</c:v>
                  </c:pt>
                </c:numCache>
              </c:numRef>
            </c:plus>
            <c:min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2.2621692452564693E-4</c:v>
                  </c:pt>
                  <c:pt idx="2">
                    <c:v>2.6282786810158306E-4</c:v>
                  </c:pt>
                  <c:pt idx="3">
                    <c:v>2.5874273874318399E-4</c:v>
                  </c:pt>
                  <c:pt idx="4">
                    <c:v>2.4348627209113039E-4</c:v>
                  </c:pt>
                  <c:pt idx="5">
                    <c:v>2.3432267347303726E-4</c:v>
                  </c:pt>
                  <c:pt idx="6">
                    <c:v>2.1583978155941347E-4</c:v>
                  </c:pt>
                  <c:pt idx="7">
                    <c:v>2.0840412244077448E-4</c:v>
                  </c:pt>
                  <c:pt idx="8">
                    <c:v>2.0002807946606862E-4</c:v>
                  </c:pt>
                  <c:pt idx="9">
                    <c:v>1.9769665107162787E-4</c:v>
                  </c:pt>
                  <c:pt idx="10">
                    <c:v>1.7849323978812751E-4</c:v>
                  </c:pt>
                  <c:pt idx="11">
                    <c:v>1.7395017650611764E-4</c:v>
                  </c:pt>
                  <c:pt idx="12">
                    <c:v>1.6765368106294156E-4</c:v>
                  </c:pt>
                  <c:pt idx="13">
                    <c:v>1.7201739949637893E-4</c:v>
                  </c:pt>
                  <c:pt idx="14">
                    <c:v>1.6515096902213109E-4</c:v>
                  </c:pt>
                  <c:pt idx="15">
                    <c:v>1.5524309243884768E-4</c:v>
                  </c:pt>
                  <c:pt idx="16">
                    <c:v>1.55666463177797E-4</c:v>
                  </c:pt>
                  <c:pt idx="17">
                    <c:v>1.4400634492908054E-4</c:v>
                  </c:pt>
                  <c:pt idx="18">
                    <c:v>1.5548708397451443E-4</c:v>
                  </c:pt>
                  <c:pt idx="19">
                    <c:v>1.4790323089841769E-4</c:v>
                  </c:pt>
                  <c:pt idx="20">
                    <c:v>1.4671296905176484E-4</c:v>
                  </c:pt>
                  <c:pt idx="21">
                    <c:v>1.4262571151334397E-4</c:v>
                  </c:pt>
                  <c:pt idx="22">
                    <c:v>1.3475019109731947E-4</c:v>
                  </c:pt>
                  <c:pt idx="23">
                    <c:v>1.4697222995948837E-4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efficiency_monster!$A$13:$A$36</c:f>
              <c:numCache>
                <c:formatCode>General</c:formatCode>
                <c:ptCount val="24"/>
                <c:pt idx="0">
                  <c:v>0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1.5999999999999999</c:v>
                </c:pt>
                <c:pt idx="8">
                  <c:v>1.7999999999999998</c:v>
                </c:pt>
                <c:pt idx="9">
                  <c:v>1.9999999999999998</c:v>
                </c:pt>
                <c:pt idx="10">
                  <c:v>2.1999999999999997</c:v>
                </c:pt>
                <c:pt idx="11">
                  <c:v>2.4</c:v>
                </c:pt>
                <c:pt idx="12">
                  <c:v>2.6</c:v>
                </c:pt>
                <c:pt idx="13">
                  <c:v>2.8000000000000003</c:v>
                </c:pt>
                <c:pt idx="14">
                  <c:v>3.0000000000000004</c:v>
                </c:pt>
                <c:pt idx="15">
                  <c:v>3.2000000000000006</c:v>
                </c:pt>
                <c:pt idx="16">
                  <c:v>3.4000000000000008</c:v>
                </c:pt>
                <c:pt idx="17">
                  <c:v>3.600000000000001</c:v>
                </c:pt>
                <c:pt idx="18">
                  <c:v>3.8000000000000012</c:v>
                </c:pt>
                <c:pt idx="19">
                  <c:v>4.0000000000000009</c:v>
                </c:pt>
                <c:pt idx="20">
                  <c:v>4.2000000000000011</c:v>
                </c:pt>
                <c:pt idx="21">
                  <c:v>4.4000000000000012</c:v>
                </c:pt>
                <c:pt idx="22">
                  <c:v>4.6000000000000014</c:v>
                </c:pt>
                <c:pt idx="23">
                  <c:v>4.8000000000000016</c:v>
                </c:pt>
              </c:numCache>
            </c:numRef>
          </c:xVal>
          <c:yVal>
            <c:numRef>
              <c:f>efficiency_monster!$G$13:$G$36</c:f>
              <c:numCache>
                <c:formatCode>General</c:formatCode>
                <c:ptCount val="24"/>
                <c:pt idx="0">
                  <c:v>0</c:v>
                </c:pt>
                <c:pt idx="1">
                  <c:v>2.509221234394365E-2</c:v>
                </c:pt>
                <c:pt idx="2">
                  <c:v>2.9163050503515694E-2</c:v>
                </c:pt>
                <c:pt idx="3">
                  <c:v>2.8709465687775926E-2</c:v>
                </c:pt>
                <c:pt idx="4">
                  <c:v>2.7013499827218745E-2</c:v>
                </c:pt>
                <c:pt idx="5">
                  <c:v>2.5993563244189621E-2</c:v>
                </c:pt>
                <c:pt idx="6">
                  <c:v>2.3937282381878942E-2</c:v>
                </c:pt>
                <c:pt idx="7">
                  <c:v>2.31079101548388E-2</c:v>
                </c:pt>
                <c:pt idx="8">
                  <c:v>2.2173316477867591E-2</c:v>
                </c:pt>
                <c:pt idx="9">
                  <c:v>2.1909648188945162E-2</c:v>
                </c:pt>
                <c:pt idx="10">
                  <c:v>1.9770659410466591E-2</c:v>
                </c:pt>
                <c:pt idx="11">
                  <c:v>1.9259505898435746E-2</c:v>
                </c:pt>
                <c:pt idx="12">
                  <c:v>1.8552884565356004E-2</c:v>
                </c:pt>
                <c:pt idx="13">
                  <c:v>1.9029588202609023E-2</c:v>
                </c:pt>
                <c:pt idx="14">
                  <c:v>1.8257119801634469E-2</c:v>
                </c:pt>
                <c:pt idx="15">
                  <c:v>1.7145781683147131E-2</c:v>
                </c:pt>
                <c:pt idx="16">
                  <c:v>1.7180407740668698E-2</c:v>
                </c:pt>
                <c:pt idx="17">
                  <c:v>1.5870805903731244E-2</c:v>
                </c:pt>
                <c:pt idx="18">
                  <c:v>1.7130326331019918E-2</c:v>
                </c:pt>
                <c:pt idx="19">
                  <c:v>1.6269285503508202E-2</c:v>
                </c:pt>
                <c:pt idx="20">
                  <c:v>1.6115980578944755E-2</c:v>
                </c:pt>
                <c:pt idx="21">
                  <c:v>1.5637837916387586E-2</c:v>
                </c:pt>
                <c:pt idx="22">
                  <c:v>1.473547579297128E-2</c:v>
                </c:pt>
                <c:pt idx="23">
                  <c:v>1.6062080978346282E-2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B1-C046-84C8-DD4DBA4A7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572448"/>
        <c:axId val="333574176"/>
      </c:scatterChart>
      <c:valAx>
        <c:axId val="333572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3574176"/>
        <c:crosses val="autoZero"/>
        <c:crossBetween val="midCat"/>
      </c:valAx>
      <c:valAx>
        <c:axId val="33357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3572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eff_mrbig!$I$25:$I$30</c:f>
              <c:numCache>
                <c:formatCode>0.00</c:formatCode>
                <c:ptCount val="6"/>
                <c:pt idx="0">
                  <c:v>121.78</c:v>
                </c:pt>
                <c:pt idx="1">
                  <c:v>244.7</c:v>
                </c:pt>
                <c:pt idx="2">
                  <c:v>344.28</c:v>
                </c:pt>
                <c:pt idx="3">
                  <c:v>661.6</c:v>
                </c:pt>
                <c:pt idx="4">
                  <c:v>1173.2280000000001</c:v>
                </c:pt>
                <c:pt idx="5" formatCode="General">
                  <c:v>1332.492</c:v>
                </c:pt>
              </c:numCache>
            </c:numRef>
          </c:xVal>
          <c:yVal>
            <c:numRef>
              <c:f>eff_mrbig!$N$25:$N$30</c:f>
              <c:numCache>
                <c:formatCode>0.00</c:formatCode>
                <c:ptCount val="6"/>
                <c:pt idx="0">
                  <c:v>8.9051329861705639</c:v>
                </c:pt>
                <c:pt idx="1">
                  <c:v>6.0368386606119184</c:v>
                </c:pt>
                <c:pt idx="2">
                  <c:v>6.1182201592247658</c:v>
                </c:pt>
                <c:pt idx="3">
                  <c:v>3.932311770252797</c:v>
                </c:pt>
                <c:pt idx="4">
                  <c:v>2.3116490857231393</c:v>
                </c:pt>
                <c:pt idx="5" formatCode="General">
                  <c:v>2.2196814418619328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23-3A43-A115-6B87D18A9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993424"/>
        <c:axId val="428899680"/>
      </c:scatterChart>
      <c:valAx>
        <c:axId val="42899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899680"/>
        <c:crosses val="autoZero"/>
        <c:crossBetween val="midCat"/>
      </c:valAx>
      <c:valAx>
        <c:axId val="42889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89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8.5851366036872503E-2"/>
                  <c:y val="4.2129629629629626E-3"/>
                </c:manualLayout>
              </c:layout>
              <c:numFmt formatCode="0.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eff_mrbig!$J$25:$J$30</c:f>
              <c:numCache>
                <c:formatCode>0.00</c:formatCode>
                <c:ptCount val="6"/>
                <c:pt idx="0">
                  <c:v>9678.2800000000007</c:v>
                </c:pt>
                <c:pt idx="1">
                  <c:v>20584.2</c:v>
                </c:pt>
                <c:pt idx="2">
                  <c:v>29361.1</c:v>
                </c:pt>
                <c:pt idx="3">
                  <c:v>56809.9</c:v>
                </c:pt>
                <c:pt idx="4">
                  <c:v>101044</c:v>
                </c:pt>
                <c:pt idx="5" formatCode="General">
                  <c:v>114648</c:v>
                </c:pt>
              </c:numCache>
            </c:numRef>
          </c:xVal>
          <c:yVal>
            <c:numRef>
              <c:f>eff_mrbig!$I$25:$I$30</c:f>
              <c:numCache>
                <c:formatCode>0.00</c:formatCode>
                <c:ptCount val="6"/>
                <c:pt idx="0">
                  <c:v>121.78</c:v>
                </c:pt>
                <c:pt idx="1">
                  <c:v>244.7</c:v>
                </c:pt>
                <c:pt idx="2">
                  <c:v>344.28</c:v>
                </c:pt>
                <c:pt idx="3">
                  <c:v>661.6</c:v>
                </c:pt>
                <c:pt idx="4">
                  <c:v>1173.2280000000001</c:v>
                </c:pt>
                <c:pt idx="5" formatCode="General">
                  <c:v>1332.492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C-C34B-9B8C-CEBF63E11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906192"/>
        <c:axId val="337926528"/>
      </c:scatterChart>
      <c:valAx>
        <c:axId val="33790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7926528"/>
        <c:crosses val="autoZero"/>
        <c:crossBetween val="midCat"/>
      </c:valAx>
      <c:valAx>
        <c:axId val="33792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3790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444500</xdr:colOff>
      <xdr:row>17</xdr:row>
      <xdr:rowOff>196850</xdr:rowOff>
    </xdr:from>
    <xdr:to>
      <xdr:col>21</xdr:col>
      <xdr:colOff>177800</xdr:colOff>
      <xdr:row>57</xdr:row>
      <xdr:rowOff>165100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7A78F31C-CCE2-770B-1604-195D30E73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146050</xdr:colOff>
      <xdr:row>15</xdr:row>
      <xdr:rowOff>196850</xdr:rowOff>
    </xdr:from>
    <xdr:to>
      <xdr:col>15</xdr:col>
      <xdr:colOff>38100</xdr:colOff>
      <xdr:row>34</xdr:row>
      <xdr:rowOff>203200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AB05880-B702-05C6-6DBF-D9CB0AB39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107950</xdr:colOff>
      <xdr:row>3</xdr:row>
      <xdr:rowOff>120650</xdr:rowOff>
    </xdr:from>
    <xdr:to>
      <xdr:col>28</xdr:col>
      <xdr:colOff>63500</xdr:colOff>
      <xdr:row>35</xdr:row>
      <xdr:rowOff>190500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7430ED1-148D-9890-51A1-52A604E5F5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476250</xdr:colOff>
      <xdr:row>34</xdr:row>
      <xdr:rowOff>0</xdr:rowOff>
    </xdr:from>
    <xdr:to>
      <xdr:col>13</xdr:col>
      <xdr:colOff>127000</xdr:colOff>
      <xdr:row>65</xdr:row>
      <xdr:rowOff>25400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81083F5-F062-9A7F-245C-75B9951A35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8B57-695B-9142-91D4-6175F6AC18A6}">
  <dimension ref="A1:A39"/>
  <sheetViews>
    <sheetView workbookViewId="0">
      <selection activeCell="C39" sqref="C39"/>
    </sheetView>
  </sheetViews>
  <sheetFormatPr baseColWidth="10" defaultRowHeight="18"/>
  <sheetData>
    <row r="1" spans="1:1">
      <c r="A1">
        <v>151</v>
      </c>
    </row>
    <row r="2" spans="1:1">
      <c r="A2">
        <v>152</v>
      </c>
    </row>
    <row r="3" spans="1:1">
      <c r="A3">
        <v>155</v>
      </c>
    </row>
    <row r="4" spans="1:1">
      <c r="A4">
        <v>157</v>
      </c>
    </row>
    <row r="5" spans="1:1">
      <c r="A5">
        <v>160</v>
      </c>
    </row>
    <row r="6" spans="1:1">
      <c r="A6">
        <v>162</v>
      </c>
    </row>
    <row r="7" spans="1:1">
      <c r="A7">
        <v>163</v>
      </c>
    </row>
    <row r="8" spans="1:1">
      <c r="A8">
        <v>152</v>
      </c>
    </row>
    <row r="9" spans="1:1">
      <c r="A9">
        <v>152</v>
      </c>
    </row>
    <row r="10" spans="1:1">
      <c r="A10">
        <v>154</v>
      </c>
    </row>
    <row r="11" spans="1:1">
      <c r="A11">
        <v>156</v>
      </c>
    </row>
    <row r="12" spans="1:1">
      <c r="A12">
        <v>157</v>
      </c>
    </row>
    <row r="13" spans="1:1">
      <c r="A13">
        <v>158</v>
      </c>
    </row>
    <row r="14" spans="1:1">
      <c r="A14">
        <v>161</v>
      </c>
    </row>
    <row r="15" spans="1:1">
      <c r="A15">
        <v>152</v>
      </c>
    </row>
    <row r="16" spans="1:1">
      <c r="A16">
        <v>153</v>
      </c>
    </row>
    <row r="17" spans="1:1">
      <c r="A17">
        <v>153</v>
      </c>
    </row>
    <row r="18" spans="1:1">
      <c r="A18">
        <v>154</v>
      </c>
    </row>
    <row r="19" spans="1:1">
      <c r="A19">
        <v>155</v>
      </c>
    </row>
    <row r="20" spans="1:1">
      <c r="A20">
        <v>157</v>
      </c>
    </row>
    <row r="21" spans="1:1">
      <c r="A21">
        <v>158</v>
      </c>
    </row>
    <row r="22" spans="1:1">
      <c r="A22">
        <v>152</v>
      </c>
    </row>
    <row r="23" spans="1:1">
      <c r="A23">
        <v>152</v>
      </c>
    </row>
    <row r="24" spans="1:1">
      <c r="A24">
        <v>154</v>
      </c>
    </row>
    <row r="25" spans="1:1">
      <c r="A25">
        <v>154</v>
      </c>
    </row>
    <row r="26" spans="1:1">
      <c r="A26">
        <v>155</v>
      </c>
    </row>
    <row r="27" spans="1:1">
      <c r="A27">
        <v>153</v>
      </c>
    </row>
    <row r="28" spans="1:1">
      <c r="A28">
        <v>154</v>
      </c>
    </row>
    <row r="29" spans="1:1">
      <c r="A29">
        <v>154</v>
      </c>
    </row>
    <row r="30" spans="1:1">
      <c r="A30">
        <v>155</v>
      </c>
    </row>
    <row r="31" spans="1:1">
      <c r="A31">
        <v>156</v>
      </c>
    </row>
    <row r="32" spans="1:1">
      <c r="A32">
        <v>152</v>
      </c>
    </row>
    <row r="33" spans="1:1">
      <c r="A33">
        <v>153</v>
      </c>
    </row>
    <row r="34" spans="1:1">
      <c r="A34">
        <v>154</v>
      </c>
    </row>
    <row r="35" spans="1:1">
      <c r="A35">
        <v>156</v>
      </c>
    </row>
    <row r="36" spans="1:1">
      <c r="A36">
        <v>157</v>
      </c>
    </row>
    <row r="37" spans="1:1">
      <c r="A37">
        <v>154</v>
      </c>
    </row>
    <row r="38" spans="1:1">
      <c r="A38">
        <v>156</v>
      </c>
    </row>
    <row r="39" spans="1:1">
      <c r="A39">
        <v>158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F5CA3-5DFE-134D-8696-C9DB509CF135}">
  <dimension ref="A1:AN11"/>
  <sheetViews>
    <sheetView workbookViewId="0">
      <selection activeCell="J19" sqref="J19"/>
    </sheetView>
  </sheetViews>
  <sheetFormatPr baseColWidth="10" defaultRowHeight="18"/>
  <sheetData>
    <row r="1" spans="1:40">
      <c r="A1" t="s">
        <v>0</v>
      </c>
    </row>
    <row r="4" spans="1:40">
      <c r="A4" t="s">
        <v>1</v>
      </c>
      <c r="B4" s="1">
        <v>2.6842100000000002</v>
      </c>
      <c r="C4" s="1">
        <v>5.2239399999999998</v>
      </c>
      <c r="D4" s="1">
        <v>5.0954800000000002</v>
      </c>
      <c r="E4" s="1">
        <v>3.7666499999999998</v>
      </c>
      <c r="F4" s="1">
        <v>2.04745</v>
      </c>
      <c r="G4" s="1">
        <v>1.4286399999999999</v>
      </c>
      <c r="H4" s="1">
        <v>-0.59040000000000004</v>
      </c>
      <c r="I4" s="1">
        <v>0.95776799999999995</v>
      </c>
      <c r="J4" s="1">
        <v>0.85115300000000005</v>
      </c>
      <c r="K4" s="1">
        <v>3.07498</v>
      </c>
      <c r="L4" s="1">
        <v>5.7136800000000001</v>
      </c>
      <c r="M4" s="1">
        <v>2.3777499999999998</v>
      </c>
      <c r="N4" s="1">
        <v>0.47821399999999997</v>
      </c>
      <c r="O4" s="1">
        <v>12.9346</v>
      </c>
      <c r="P4" s="1">
        <v>1.4679800000000001</v>
      </c>
      <c r="Q4" s="1">
        <v>1.0767599999999999</v>
      </c>
      <c r="R4" s="1">
        <v>-0.923508</v>
      </c>
      <c r="S4" s="1">
        <v>3.9013499999999999</v>
      </c>
      <c r="T4" s="1">
        <v>5.1346600000000002</v>
      </c>
      <c r="U4" s="1">
        <v>0.72347300000000003</v>
      </c>
      <c r="V4" s="1">
        <v>2.3108200000000001</v>
      </c>
      <c r="W4" s="1">
        <v>19.109200000000001</v>
      </c>
      <c r="X4" s="1">
        <v>7.8462800000000001</v>
      </c>
      <c r="Y4" s="1">
        <v>1.5502400000000001</v>
      </c>
      <c r="Z4" s="1">
        <v>-2.2995899999999998</v>
      </c>
      <c r="AA4" s="1">
        <v>-3.79548</v>
      </c>
      <c r="AB4" s="1">
        <v>5.1117400000000002</v>
      </c>
      <c r="AC4" s="1">
        <v>1.54911</v>
      </c>
      <c r="AD4" s="1">
        <v>4.5928000000000004</v>
      </c>
      <c r="AE4" s="1">
        <v>2.9813900000000002</v>
      </c>
      <c r="AF4" s="1">
        <v>-10.720599999999999</v>
      </c>
      <c r="AG4" s="1">
        <v>-5.9166699999999999</v>
      </c>
      <c r="AH4" s="1">
        <v>-3.3794900000000001</v>
      </c>
      <c r="AI4" s="1">
        <v>-4.2928300000000004</v>
      </c>
      <c r="AJ4" s="1">
        <v>-1.2522800000000001</v>
      </c>
      <c r="AK4" s="1">
        <v>4.4283999999999999</v>
      </c>
      <c r="AL4" s="1">
        <v>-0.426012</v>
      </c>
      <c r="AM4" s="1">
        <v>-1.19791</v>
      </c>
      <c r="AN4" s="1">
        <v>4.2396799999999999</v>
      </c>
    </row>
    <row r="5" spans="1:40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40">
      <c r="A7" t="s">
        <v>2</v>
      </c>
      <c r="B7">
        <v>27.3</v>
      </c>
      <c r="C7">
        <v>29.5</v>
      </c>
      <c r="D7">
        <v>29.4</v>
      </c>
      <c r="E7">
        <v>28.1</v>
      </c>
      <c r="F7">
        <v>26.7</v>
      </c>
      <c r="G7">
        <v>25.8</v>
      </c>
      <c r="H7">
        <v>23.7</v>
      </c>
      <c r="I7">
        <v>25.2</v>
      </c>
      <c r="J7">
        <v>25.3</v>
      </c>
      <c r="K7">
        <v>27.6</v>
      </c>
      <c r="L7">
        <v>30.4</v>
      </c>
      <c r="M7">
        <v>26.6</v>
      </c>
      <c r="N7">
        <v>24.3</v>
      </c>
      <c r="O7">
        <v>37.1</v>
      </c>
      <c r="P7">
        <v>25.8</v>
      </c>
      <c r="Q7">
        <v>25</v>
      </c>
      <c r="R7">
        <v>23.4</v>
      </c>
      <c r="S7">
        <v>28.2</v>
      </c>
      <c r="T7">
        <v>29.9</v>
      </c>
      <c r="U7">
        <v>25.1</v>
      </c>
      <c r="V7">
        <v>26.5</v>
      </c>
      <c r="W7">
        <v>43.5</v>
      </c>
      <c r="X7">
        <v>32.1</v>
      </c>
      <c r="Y7">
        <v>26</v>
      </c>
      <c r="Z7">
        <v>22.1</v>
      </c>
      <c r="AA7">
        <v>20.7</v>
      </c>
      <c r="AB7">
        <v>29.5</v>
      </c>
      <c r="AC7">
        <v>25.7</v>
      </c>
      <c r="AD7">
        <v>29.1</v>
      </c>
      <c r="AE7">
        <v>27.6</v>
      </c>
      <c r="AF7">
        <v>14</v>
      </c>
      <c r="AG7">
        <v>18.7</v>
      </c>
      <c r="AH7">
        <v>21</v>
      </c>
      <c r="AI7">
        <v>20.3</v>
      </c>
      <c r="AJ7">
        <v>23</v>
      </c>
      <c r="AK7">
        <v>29</v>
      </c>
      <c r="AL7">
        <v>24.1</v>
      </c>
      <c r="AM7">
        <v>23.3</v>
      </c>
      <c r="AN7">
        <v>29</v>
      </c>
    </row>
    <row r="9" spans="1:40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1" spans="1:40">
      <c r="A11" t="s">
        <v>3</v>
      </c>
      <c r="B11">
        <v>2.6855199999999999</v>
      </c>
      <c r="C11" s="3">
        <v>5.2409999999999997</v>
      </c>
      <c r="D11" s="3">
        <v>5.0683499999999997</v>
      </c>
      <c r="E11" s="3">
        <v>3.7324700000000002</v>
      </c>
      <c r="F11" s="3">
        <v>1.96254</v>
      </c>
      <c r="G11" s="3">
        <v>1.28285</v>
      </c>
      <c r="H11" s="3">
        <v>-0.62296899999999999</v>
      </c>
      <c r="I11" s="3">
        <v>0.66530199999999995</v>
      </c>
      <c r="J11" s="3">
        <v>0.62622900000000004</v>
      </c>
      <c r="K11" s="3">
        <v>3.0362800000000001</v>
      </c>
      <c r="L11" s="3">
        <v>5.6766800000000002</v>
      </c>
      <c r="M11" s="3">
        <v>2.3431000000000002</v>
      </c>
      <c r="N11" s="3" t="s">
        <v>4</v>
      </c>
      <c r="O11" s="3">
        <v>12.9122</v>
      </c>
      <c r="P11" s="3">
        <v>1.3123199999999999</v>
      </c>
      <c r="Q11" s="3">
        <v>0.788829</v>
      </c>
      <c r="R11" s="3">
        <v>-0.93280799999999997</v>
      </c>
      <c r="S11" s="3">
        <v>3.8621300000000001</v>
      </c>
      <c r="T11" s="3">
        <v>5.0884200000000002</v>
      </c>
      <c r="U11" s="3">
        <v>0.40724300000000002</v>
      </c>
      <c r="V11" s="3">
        <v>2.2490899999999998</v>
      </c>
      <c r="W11" s="3">
        <v>19.0685</v>
      </c>
      <c r="X11" s="3">
        <v>7.7908299999999997</v>
      </c>
      <c r="Y11" s="3">
        <v>1.36452</v>
      </c>
      <c r="Z11" s="3">
        <v>-2.3115899999999998</v>
      </c>
      <c r="AA11" s="3">
        <v>-3.8155800000000002</v>
      </c>
      <c r="AB11" s="3">
        <v>5.0625099999999996</v>
      </c>
      <c r="AC11" s="3">
        <v>1.41587</v>
      </c>
      <c r="AD11" s="3">
        <v>4.54087</v>
      </c>
      <c r="AE11" s="3">
        <v>3.0126300000000001</v>
      </c>
      <c r="AF11" s="3">
        <v>-10.725099999999999</v>
      </c>
      <c r="AG11" s="3">
        <v>-5.9208699999999999</v>
      </c>
      <c r="AH11" s="3">
        <v>-3.3847900000000002</v>
      </c>
      <c r="AI11" s="3">
        <v>-4.2956500000000002</v>
      </c>
      <c r="AJ11" s="3">
        <v>-1.28501</v>
      </c>
      <c r="AK11" s="3">
        <v>4.4364800000000004</v>
      </c>
      <c r="AL11" s="3">
        <v>-0.44253599999999998</v>
      </c>
      <c r="AM11" s="3">
        <v>-1.18371</v>
      </c>
      <c r="AN11" s="3">
        <v>4.1624699999999999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F0EC6-EDE8-6046-8F97-794FA0D14826}">
  <dimension ref="A1:Q37"/>
  <sheetViews>
    <sheetView topLeftCell="A9" workbookViewId="0">
      <selection activeCell="G16" sqref="G16"/>
    </sheetView>
  </sheetViews>
  <sheetFormatPr baseColWidth="10" defaultRowHeight="18"/>
  <cols>
    <col min="1" max="2" width="11.875" bestFit="1" customWidth="1"/>
    <col min="4" max="4" width="11.875" customWidth="1"/>
    <col min="12" max="12" width="10.875" bestFit="1" customWidth="1"/>
  </cols>
  <sheetData>
    <row r="1" spans="1:17">
      <c r="A1" t="s">
        <v>5</v>
      </c>
      <c r="B1" t="s">
        <v>6</v>
      </c>
      <c r="D1" t="s">
        <v>9</v>
      </c>
      <c r="E1">
        <v>7260</v>
      </c>
      <c r="G1" t="s">
        <v>10</v>
      </c>
      <c r="H1">
        <v>37000</v>
      </c>
      <c r="N1" s="4"/>
    </row>
    <row r="2" spans="1:17">
      <c r="A2" t="s">
        <v>7</v>
      </c>
      <c r="B2" t="s">
        <v>8</v>
      </c>
      <c r="G2" t="s">
        <v>13</v>
      </c>
      <c r="H2">
        <v>83412720</v>
      </c>
      <c r="P2" s="4"/>
    </row>
    <row r="3" spans="1:17">
      <c r="L3" s="2"/>
      <c r="N3" s="2"/>
      <c r="O3" s="2"/>
      <c r="P3" s="2"/>
      <c r="Q3" s="2"/>
    </row>
    <row r="4" spans="1:17">
      <c r="A4" t="s">
        <v>11</v>
      </c>
      <c r="B4">
        <v>95558400</v>
      </c>
      <c r="L4" s="2"/>
      <c r="N4" s="2"/>
      <c r="O4" s="2"/>
      <c r="P4" s="2"/>
      <c r="Q4" s="2"/>
    </row>
    <row r="5" spans="1:17">
      <c r="L5" s="2"/>
      <c r="N5" s="2"/>
      <c r="O5" s="2"/>
      <c r="P5" s="2"/>
      <c r="Q5" s="2"/>
    </row>
    <row r="6" spans="1:17">
      <c r="L6" s="2"/>
      <c r="N6" s="2"/>
      <c r="O6" s="2"/>
      <c r="P6" s="2"/>
      <c r="Q6" s="2"/>
    </row>
    <row r="7" spans="1:17">
      <c r="L7" s="2"/>
      <c r="N7" s="2"/>
      <c r="O7" s="2"/>
      <c r="P7" s="2"/>
      <c r="Q7" s="2"/>
    </row>
    <row r="8" spans="1:17">
      <c r="A8" t="s">
        <v>14</v>
      </c>
      <c r="B8">
        <f>H1*EXP((-LN(2)/H2)*B4)</f>
        <v>16723.952189574891</v>
      </c>
    </row>
    <row r="9" spans="1:17">
      <c r="A9" t="s">
        <v>15</v>
      </c>
      <c r="B9">
        <f>B8*E1*3.7*0.0309</f>
        <v>13881479.034835547</v>
      </c>
    </row>
    <row r="12" spans="1:17">
      <c r="A12" t="s">
        <v>17</v>
      </c>
      <c r="B12" t="s">
        <v>16</v>
      </c>
      <c r="C12" t="s">
        <v>12</v>
      </c>
      <c r="D12" t="s">
        <v>66</v>
      </c>
      <c r="E12" t="s">
        <v>67</v>
      </c>
      <c r="F12" t="s">
        <v>68</v>
      </c>
      <c r="G12" t="s">
        <v>19</v>
      </c>
      <c r="H12" t="s">
        <v>63</v>
      </c>
      <c r="I12" t="s">
        <v>64</v>
      </c>
      <c r="J12" t="s">
        <v>65</v>
      </c>
    </row>
    <row r="13" spans="1:17">
      <c r="A13">
        <v>0</v>
      </c>
      <c r="B13">
        <v>0</v>
      </c>
      <c r="C13">
        <f t="shared" ref="C13:C36" si="0">$B$9*B13</f>
        <v>0</v>
      </c>
      <c r="D13">
        <f>0.3*C13</f>
        <v>0</v>
      </c>
      <c r="E13">
        <v>0</v>
      </c>
      <c r="F13">
        <f>SQRT(E13)</f>
        <v>0</v>
      </c>
      <c r="G13">
        <v>0</v>
      </c>
      <c r="H13">
        <v>0</v>
      </c>
      <c r="I13">
        <v>0</v>
      </c>
      <c r="J13">
        <f>SQRT(H13+I13)</f>
        <v>0</v>
      </c>
    </row>
    <row r="14" spans="1:17">
      <c r="A14">
        <v>0.4</v>
      </c>
      <c r="B14" s="3">
        <v>0.30996667</v>
      </c>
      <c r="C14">
        <f t="shared" si="0"/>
        <v>4302795.8311027884</v>
      </c>
      <c r="D14">
        <f t="shared" ref="D14:D36" si="1">0.3*C14</f>
        <v>1290838.7493308366</v>
      </c>
      <c r="E14">
        <v>3239</v>
      </c>
      <c r="F14">
        <f t="shared" ref="F14:F36" si="2">SQRT(E14)</f>
        <v>56.912213100528781</v>
      </c>
      <c r="G14">
        <f>E14/C14/0.03</f>
        <v>2.509221234394365E-2</v>
      </c>
      <c r="H14">
        <f t="shared" ref="H14:H36" si="3">(F14/C14)^2</f>
        <v>1.7494819644402662E-10</v>
      </c>
      <c r="I14">
        <f t="shared" ref="I14:I36" si="4">(E14*D14/(C14^2))^2</f>
        <v>5.0999148745398211E-8</v>
      </c>
      <c r="J14">
        <f t="shared" ref="J14:J36" si="5">SQRT(H14+I14)</f>
        <v>2.2621692452564693E-4</v>
      </c>
    </row>
    <row r="15" spans="1:17">
      <c r="A15">
        <v>0.6</v>
      </c>
      <c r="B15" s="3">
        <v>0.33289999999999997</v>
      </c>
      <c r="C15">
        <f t="shared" si="0"/>
        <v>4621144.3706967533</v>
      </c>
      <c r="D15">
        <f t="shared" si="1"/>
        <v>1386343.311209026</v>
      </c>
      <c r="E15">
        <v>4043</v>
      </c>
      <c r="F15">
        <f t="shared" si="2"/>
        <v>63.584589327918131</v>
      </c>
      <c r="G15">
        <f t="shared" ref="G15:G36" si="6">E15/C15/0.03</f>
        <v>2.9163050503515694E-2</v>
      </c>
      <c r="H15">
        <f t="shared" si="3"/>
        <v>1.8932356250396891E-10</v>
      </c>
      <c r="I15">
        <f t="shared" si="4"/>
        <v>6.8889164688319158E-8</v>
      </c>
      <c r="J15">
        <f t="shared" si="5"/>
        <v>2.6282786810158306E-4</v>
      </c>
    </row>
    <row r="16" spans="1:17">
      <c r="A16">
        <f>A15+0.2</f>
        <v>0.8</v>
      </c>
      <c r="B16" s="3">
        <v>0.33556667000000001</v>
      </c>
      <c r="C16">
        <f t="shared" si="0"/>
        <v>4658161.6943945792</v>
      </c>
      <c r="D16">
        <f t="shared" si="1"/>
        <v>1397448.5083183737</v>
      </c>
      <c r="E16">
        <v>4012</v>
      </c>
      <c r="F16">
        <f t="shared" si="2"/>
        <v>63.340350488452465</v>
      </c>
      <c r="G16">
        <f t="shared" si="6"/>
        <v>2.8709465687775926E-2</v>
      </c>
      <c r="H16">
        <f t="shared" si="3"/>
        <v>1.848978260393382E-10</v>
      </c>
      <c r="I16">
        <f t="shared" si="4"/>
        <v>6.676290702628422E-8</v>
      </c>
      <c r="J16">
        <f t="shared" si="5"/>
        <v>2.5874273874318399E-4</v>
      </c>
    </row>
    <row r="17" spans="1:13">
      <c r="A17">
        <f t="shared" ref="A17:A36" si="7">A16+0.2</f>
        <v>1</v>
      </c>
      <c r="B17" s="3">
        <v>0.32890000000000003</v>
      </c>
      <c r="C17">
        <f t="shared" si="0"/>
        <v>4565618.4545574114</v>
      </c>
      <c r="D17">
        <f t="shared" si="1"/>
        <v>1369685.5363672234</v>
      </c>
      <c r="E17">
        <v>3700</v>
      </c>
      <c r="F17">
        <f t="shared" si="2"/>
        <v>60.827625302982199</v>
      </c>
      <c r="G17">
        <f t="shared" si="6"/>
        <v>2.7013499827218745E-2</v>
      </c>
      <c r="H17">
        <f t="shared" si="3"/>
        <v>1.7750169070908981E-10</v>
      </c>
      <c r="I17">
        <f t="shared" si="4"/>
        <v>5.9108063006126893E-8</v>
      </c>
      <c r="J17">
        <f t="shared" si="5"/>
        <v>2.4348627209113039E-4</v>
      </c>
    </row>
    <row r="18" spans="1:13">
      <c r="A18">
        <f t="shared" si="7"/>
        <v>1.2</v>
      </c>
      <c r="B18" s="3">
        <v>0.31519999999999998</v>
      </c>
      <c r="C18">
        <f t="shared" si="0"/>
        <v>4375442.1917801639</v>
      </c>
      <c r="D18">
        <f t="shared" si="1"/>
        <v>1312632.6575340491</v>
      </c>
      <c r="E18">
        <v>3412</v>
      </c>
      <c r="F18">
        <f t="shared" si="2"/>
        <v>58.412327466040935</v>
      </c>
      <c r="G18">
        <f t="shared" si="6"/>
        <v>2.5993563244189621E-2</v>
      </c>
      <c r="H18">
        <f t="shared" si="3"/>
        <v>1.7822356304710347E-10</v>
      </c>
      <c r="I18">
        <f t="shared" si="4"/>
        <v>5.472889174050454E-8</v>
      </c>
      <c r="J18">
        <f t="shared" si="5"/>
        <v>2.3432267347303726E-4</v>
      </c>
    </row>
    <row r="19" spans="1:13">
      <c r="A19">
        <f t="shared" si="7"/>
        <v>1.4</v>
      </c>
      <c r="B19" s="3">
        <v>0.29673333000000002</v>
      </c>
      <c r="C19">
        <f t="shared" si="0"/>
        <v>4119097.4993319381</v>
      </c>
      <c r="D19">
        <f t="shared" si="1"/>
        <v>1235729.2497995815</v>
      </c>
      <c r="E19">
        <v>2958</v>
      </c>
      <c r="F19">
        <f t="shared" si="2"/>
        <v>54.38749856354859</v>
      </c>
      <c r="G19">
        <f t="shared" si="6"/>
        <v>2.3937282381878942E-2</v>
      </c>
      <c r="H19">
        <f t="shared" si="3"/>
        <v>1.7433878940055131E-10</v>
      </c>
      <c r="I19">
        <f t="shared" si="4"/>
        <v>4.6412472514214774E-8</v>
      </c>
      <c r="J19">
        <f t="shared" si="5"/>
        <v>2.1583978155941347E-4</v>
      </c>
      <c r="L19" s="2"/>
      <c r="M19" s="2"/>
    </row>
    <row r="20" spans="1:13">
      <c r="A20">
        <f t="shared" si="7"/>
        <v>1.5999999999999999</v>
      </c>
      <c r="B20" s="3">
        <v>0.27704000000000001</v>
      </c>
      <c r="C20">
        <f t="shared" si="0"/>
        <v>3845724.9518108401</v>
      </c>
      <c r="D20">
        <f t="shared" si="1"/>
        <v>1153717.485543252</v>
      </c>
      <c r="E20">
        <v>2666</v>
      </c>
      <c r="F20">
        <f t="shared" si="2"/>
        <v>51.633322573702344</v>
      </c>
      <c r="G20">
        <f t="shared" si="6"/>
        <v>2.31079101548388E-2</v>
      </c>
      <c r="H20">
        <f t="shared" si="3"/>
        <v>1.8026180065704875E-10</v>
      </c>
      <c r="I20">
        <f t="shared" si="4"/>
        <v>4.3252016449652272E-8</v>
      </c>
      <c r="J20">
        <f t="shared" si="5"/>
        <v>2.0840412244077448E-4</v>
      </c>
      <c r="L20" s="2"/>
      <c r="M20" s="2"/>
    </row>
    <row r="21" spans="1:13">
      <c r="A21">
        <f t="shared" si="7"/>
        <v>1.7999999999999998</v>
      </c>
      <c r="B21" s="3">
        <v>0.25612000000000001</v>
      </c>
      <c r="C21">
        <f t="shared" si="0"/>
        <v>3555324.4104020805</v>
      </c>
      <c r="D21">
        <f t="shared" si="1"/>
        <v>1066597.3231206241</v>
      </c>
      <c r="E21">
        <v>2365</v>
      </c>
      <c r="F21">
        <f t="shared" si="2"/>
        <v>48.631265663151311</v>
      </c>
      <c r="G21">
        <f t="shared" si="6"/>
        <v>2.2173316477867591E-2</v>
      </c>
      <c r="H21">
        <f t="shared" si="3"/>
        <v>1.8709952104224399E-10</v>
      </c>
      <c r="I21">
        <f t="shared" si="4"/>
        <v>3.9824133053841615E-8</v>
      </c>
      <c r="J21">
        <f t="shared" si="5"/>
        <v>2.0002807946606862E-4</v>
      </c>
      <c r="L21" s="2"/>
      <c r="M21" s="2"/>
    </row>
    <row r="22" spans="1:13">
      <c r="A22">
        <f t="shared" si="7"/>
        <v>1.9999999999999998</v>
      </c>
      <c r="B22" s="3">
        <v>0.23519999999999999</v>
      </c>
      <c r="C22">
        <f t="shared" si="0"/>
        <v>3264923.8689933205</v>
      </c>
      <c r="D22">
        <f t="shared" si="1"/>
        <v>979477.16069799615</v>
      </c>
      <c r="E22">
        <v>2146</v>
      </c>
      <c r="F22">
        <f t="shared" si="2"/>
        <v>46.324939287601879</v>
      </c>
      <c r="G22">
        <f t="shared" si="6"/>
        <v>2.1909648188945162E-2</v>
      </c>
      <c r="H22">
        <f t="shared" si="3"/>
        <v>2.0131846010578435E-10</v>
      </c>
      <c r="I22">
        <f t="shared" si="4"/>
        <v>3.888264738483119E-8</v>
      </c>
      <c r="J22">
        <f t="shared" si="5"/>
        <v>1.9769665107162787E-4</v>
      </c>
      <c r="L22" s="2"/>
      <c r="M22" s="2"/>
    </row>
    <row r="23" spans="1:13">
      <c r="A23">
        <f t="shared" si="7"/>
        <v>2.1999999999999997</v>
      </c>
      <c r="B23" s="3">
        <v>0.21510000000000001</v>
      </c>
      <c r="C23">
        <f t="shared" si="0"/>
        <v>2985906.1403931263</v>
      </c>
      <c r="D23">
        <f t="shared" si="1"/>
        <v>895771.84211793786</v>
      </c>
      <c r="E23">
        <v>1771</v>
      </c>
      <c r="F23">
        <f t="shared" si="2"/>
        <v>42.083250825001628</v>
      </c>
      <c r="G23">
        <f t="shared" si="6"/>
        <v>1.9770659410466591E-2</v>
      </c>
      <c r="H23">
        <f t="shared" si="3"/>
        <v>1.9863979456363862E-10</v>
      </c>
      <c r="I23">
        <f t="shared" si="4"/>
        <v>3.1661196855498344E-8</v>
      </c>
      <c r="J23">
        <f t="shared" si="5"/>
        <v>1.7849323978812751E-4</v>
      </c>
      <c r="L23" s="2"/>
      <c r="M23" s="2"/>
    </row>
    <row r="24" spans="1:13">
      <c r="A24">
        <f t="shared" si="7"/>
        <v>2.4</v>
      </c>
      <c r="B24" s="3">
        <v>0.19500000000000001</v>
      </c>
      <c r="C24">
        <f t="shared" si="0"/>
        <v>2706888.4117929316</v>
      </c>
      <c r="D24">
        <f t="shared" si="1"/>
        <v>812066.52353787946</v>
      </c>
      <c r="E24">
        <v>1564</v>
      </c>
      <c r="F24">
        <f t="shared" si="2"/>
        <v>39.547439866570379</v>
      </c>
      <c r="G24">
        <f t="shared" si="6"/>
        <v>1.9259505898435746E-2</v>
      </c>
      <c r="H24">
        <f t="shared" si="3"/>
        <v>2.1344994290709283E-10</v>
      </c>
      <c r="I24">
        <f t="shared" si="4"/>
        <v>3.0045213963602383E-8</v>
      </c>
      <c r="J24">
        <f t="shared" si="5"/>
        <v>1.7395017650611764E-4</v>
      </c>
      <c r="L24" s="2"/>
      <c r="M24" s="2"/>
    </row>
    <row r="25" spans="1:13">
      <c r="A25">
        <f t="shared" si="7"/>
        <v>2.6</v>
      </c>
      <c r="B25" s="3">
        <v>0.17680000000000001</v>
      </c>
      <c r="C25">
        <f t="shared" si="0"/>
        <v>2454245.493358925</v>
      </c>
      <c r="D25">
        <f t="shared" si="1"/>
        <v>736273.64800767752</v>
      </c>
      <c r="E25">
        <v>1366</v>
      </c>
      <c r="F25">
        <f t="shared" si="2"/>
        <v>36.959437225152655</v>
      </c>
      <c r="G25">
        <f t="shared" si="6"/>
        <v>1.8552884565356004E-2</v>
      </c>
      <c r="H25">
        <f t="shared" si="3"/>
        <v>2.2678519262509699E-10</v>
      </c>
      <c r="I25">
        <f t="shared" si="4"/>
        <v>2.7880971581329436E-8</v>
      </c>
      <c r="J25">
        <f t="shared" si="5"/>
        <v>1.6765368106294156E-4</v>
      </c>
      <c r="L25" s="2"/>
      <c r="M25" s="2"/>
    </row>
    <row r="26" spans="1:13">
      <c r="A26">
        <f t="shared" si="7"/>
        <v>2.8000000000000003</v>
      </c>
      <c r="B26" s="3">
        <v>0.1595</v>
      </c>
      <c r="C26">
        <f t="shared" si="0"/>
        <v>2214095.90605627</v>
      </c>
      <c r="D26">
        <f t="shared" si="1"/>
        <v>664228.77181688102</v>
      </c>
      <c r="E26">
        <v>1264</v>
      </c>
      <c r="F26">
        <f t="shared" si="2"/>
        <v>35.552777669262355</v>
      </c>
      <c r="G26">
        <f t="shared" si="6"/>
        <v>1.9029588202609023E-2</v>
      </c>
      <c r="H26">
        <f t="shared" si="3"/>
        <v>2.5784232946581395E-10</v>
      </c>
      <c r="I26">
        <f t="shared" si="4"/>
        <v>2.933214340003101E-8</v>
      </c>
      <c r="J26">
        <f t="shared" si="5"/>
        <v>1.7201739949637893E-4</v>
      </c>
    </row>
    <row r="27" spans="1:13">
      <c r="A27">
        <f t="shared" si="7"/>
        <v>3.0000000000000004</v>
      </c>
      <c r="B27" s="3">
        <v>0.1431</v>
      </c>
      <c r="C27">
        <f t="shared" si="0"/>
        <v>1986439.6498849669</v>
      </c>
      <c r="D27">
        <f t="shared" si="1"/>
        <v>595931.89496549009</v>
      </c>
      <c r="E27">
        <v>1088</v>
      </c>
      <c r="F27">
        <f t="shared" si="2"/>
        <v>32.984845004941285</v>
      </c>
      <c r="G27">
        <f t="shared" si="6"/>
        <v>1.8257119801634469E-2</v>
      </c>
      <c r="H27">
        <f t="shared" si="3"/>
        <v>2.7572626939899824E-10</v>
      </c>
      <c r="I27">
        <f t="shared" si="4"/>
        <v>2.6999116299549909E-8</v>
      </c>
      <c r="J27">
        <f t="shared" si="5"/>
        <v>1.6515096902213109E-4</v>
      </c>
    </row>
    <row r="28" spans="1:13">
      <c r="A28">
        <f t="shared" si="7"/>
        <v>3.2000000000000006</v>
      </c>
      <c r="B28" s="3">
        <v>0.12856666999999999</v>
      </c>
      <c r="C28">
        <f t="shared" si="0"/>
        <v>1784695.5341836202</v>
      </c>
      <c r="D28">
        <f t="shared" si="1"/>
        <v>535408.66025508603</v>
      </c>
      <c r="E28">
        <v>918</v>
      </c>
      <c r="F28">
        <f t="shared" si="2"/>
        <v>30.298514815086232</v>
      </c>
      <c r="G28">
        <f t="shared" si="6"/>
        <v>1.7145781683147131E-2</v>
      </c>
      <c r="H28">
        <f t="shared" si="3"/>
        <v>2.8821355835896436E-10</v>
      </c>
      <c r="I28">
        <f t="shared" si="4"/>
        <v>2.3812204191617637E-8</v>
      </c>
      <c r="J28">
        <f t="shared" si="5"/>
        <v>1.5524309243884768E-4</v>
      </c>
    </row>
    <row r="29" spans="1:13">
      <c r="A29">
        <f t="shared" si="7"/>
        <v>3.4000000000000008</v>
      </c>
      <c r="B29" s="3">
        <v>0.11475</v>
      </c>
      <c r="C29">
        <f t="shared" si="0"/>
        <v>1592899.7192473791</v>
      </c>
      <c r="D29">
        <f t="shared" si="1"/>
        <v>477869.91577421373</v>
      </c>
      <c r="E29">
        <v>821</v>
      </c>
      <c r="F29">
        <f t="shared" si="2"/>
        <v>28.653097563788805</v>
      </c>
      <c r="G29">
        <f t="shared" si="6"/>
        <v>1.7180407740668698E-2</v>
      </c>
      <c r="H29">
        <f t="shared" si="3"/>
        <v>3.2356853729849699E-10</v>
      </c>
      <c r="I29">
        <f t="shared" si="4"/>
        <v>2.3908479220985931E-8</v>
      </c>
      <c r="J29">
        <f t="shared" si="5"/>
        <v>1.55666463177797E-4</v>
      </c>
    </row>
    <row r="30" spans="1:13">
      <c r="A30">
        <f>A29+0.2</f>
        <v>3.600000000000001</v>
      </c>
      <c r="B30" s="3">
        <v>0.10228</v>
      </c>
      <c r="C30">
        <f t="shared" si="0"/>
        <v>1419797.6756829796</v>
      </c>
      <c r="D30">
        <f t="shared" si="1"/>
        <v>425939.30270489387</v>
      </c>
      <c r="E30">
        <v>676</v>
      </c>
      <c r="F30">
        <f t="shared" si="2"/>
        <v>26</v>
      </c>
      <c r="G30">
        <f t="shared" si="6"/>
        <v>1.5870805903731244E-2</v>
      </c>
      <c r="H30">
        <f t="shared" si="3"/>
        <v>3.3534649708656732E-10</v>
      </c>
      <c r="I30">
        <f t="shared" si="4"/>
        <v>2.0402480882746752E-8</v>
      </c>
      <c r="J30">
        <f t="shared" si="5"/>
        <v>1.4400634492908054E-4</v>
      </c>
    </row>
    <row r="31" spans="1:13">
      <c r="A31">
        <f t="shared" si="7"/>
        <v>3.8000000000000012</v>
      </c>
      <c r="B31" s="3">
        <v>9.0975E-2</v>
      </c>
      <c r="C31">
        <f t="shared" si="0"/>
        <v>1262867.5551941639</v>
      </c>
      <c r="D31">
        <f t="shared" si="1"/>
        <v>378860.26655824919</v>
      </c>
      <c r="E31">
        <v>649</v>
      </c>
      <c r="F31">
        <f t="shared" si="2"/>
        <v>25.475478405713993</v>
      </c>
      <c r="G31">
        <f t="shared" si="6"/>
        <v>1.7130326331019918E-2</v>
      </c>
      <c r="H31">
        <f t="shared" si="3"/>
        <v>4.0693878611172703E-10</v>
      </c>
      <c r="I31">
        <f t="shared" si="4"/>
        <v>2.3769294496785975E-8</v>
      </c>
      <c r="J31">
        <f t="shared" si="5"/>
        <v>1.5548708397451443E-4</v>
      </c>
    </row>
    <row r="32" spans="1:13">
      <c r="A32">
        <f t="shared" si="7"/>
        <v>4.0000000000000009</v>
      </c>
      <c r="B32" s="3">
        <v>8.0735000000000001E-2</v>
      </c>
      <c r="C32">
        <f t="shared" si="0"/>
        <v>1120721.2098774479</v>
      </c>
      <c r="D32">
        <f t="shared" si="1"/>
        <v>336216.36296323437</v>
      </c>
      <c r="E32">
        <v>547</v>
      </c>
      <c r="F32">
        <f t="shared" si="2"/>
        <v>23.388031127053001</v>
      </c>
      <c r="G32">
        <f t="shared" si="6"/>
        <v>1.6269285503508202E-2</v>
      </c>
      <c r="H32">
        <f t="shared" si="3"/>
        <v>4.3550399582302714E-10</v>
      </c>
      <c r="I32">
        <f t="shared" si="4"/>
        <v>2.1439861714367627E-8</v>
      </c>
      <c r="J32">
        <f t="shared" si="5"/>
        <v>1.4790323089841769E-4</v>
      </c>
    </row>
    <row r="33" spans="1:10">
      <c r="A33">
        <f t="shared" si="7"/>
        <v>4.2000000000000011</v>
      </c>
      <c r="B33" s="3">
        <v>7.152E-2</v>
      </c>
      <c r="C33">
        <f t="shared" si="0"/>
        <v>992803.38057143835</v>
      </c>
      <c r="D33">
        <f t="shared" si="1"/>
        <v>297841.01417143148</v>
      </c>
      <c r="E33">
        <v>480</v>
      </c>
      <c r="F33">
        <f t="shared" si="2"/>
        <v>21.908902300206645</v>
      </c>
      <c r="G33">
        <f t="shared" si="6"/>
        <v>1.6115980578944755E-2</v>
      </c>
      <c r="H33">
        <f t="shared" si="3"/>
        <v>4.8698405628923355E-10</v>
      </c>
      <c r="I33">
        <f t="shared" si="4"/>
        <v>2.1037711231694878E-8</v>
      </c>
      <c r="J33">
        <f t="shared" si="5"/>
        <v>1.4671296905176484E-4</v>
      </c>
    </row>
    <row r="34" spans="1:10">
      <c r="A34">
        <f t="shared" si="7"/>
        <v>4.4000000000000012</v>
      </c>
      <c r="B34" s="3">
        <v>6.3265000000000002E-2</v>
      </c>
      <c r="C34">
        <f t="shared" si="0"/>
        <v>878211.77113887097</v>
      </c>
      <c r="D34">
        <f t="shared" si="1"/>
        <v>263463.53134166129</v>
      </c>
      <c r="E34">
        <v>412</v>
      </c>
      <c r="F34">
        <f t="shared" si="2"/>
        <v>20.297783130184438</v>
      </c>
      <c r="G34">
        <f t="shared" si="6"/>
        <v>1.5637837916387586E-2</v>
      </c>
      <c r="H34">
        <f t="shared" si="3"/>
        <v>5.3419363405167057E-10</v>
      </c>
      <c r="I34">
        <f t="shared" si="4"/>
        <v>1.9807899950635948E-8</v>
      </c>
      <c r="J34">
        <f t="shared" si="5"/>
        <v>1.4262571151334397E-4</v>
      </c>
    </row>
    <row r="35" spans="1:10">
      <c r="A35">
        <f t="shared" si="7"/>
        <v>4.6000000000000014</v>
      </c>
      <c r="B35" s="3">
        <v>5.5895E-2</v>
      </c>
      <c r="C35">
        <f t="shared" si="0"/>
        <v>775905.27065213292</v>
      </c>
      <c r="D35">
        <f t="shared" si="1"/>
        <v>232771.58119563988</v>
      </c>
      <c r="E35">
        <v>343</v>
      </c>
      <c r="F35">
        <f t="shared" si="2"/>
        <v>18.520259177452136</v>
      </c>
      <c r="G35">
        <f t="shared" si="6"/>
        <v>1.473547579297128E-2</v>
      </c>
      <c r="H35">
        <f t="shared" si="3"/>
        <v>5.697400062994703E-10</v>
      </c>
      <c r="I35">
        <f t="shared" si="4"/>
        <v>1.7587873994464648E-8</v>
      </c>
      <c r="J35">
        <f t="shared" si="5"/>
        <v>1.3475019109731947E-4</v>
      </c>
    </row>
    <row r="36" spans="1:10">
      <c r="A36">
        <f t="shared" si="7"/>
        <v>4.8000000000000016</v>
      </c>
      <c r="B36" s="3">
        <v>4.9334999999999997E-2</v>
      </c>
      <c r="C36">
        <f t="shared" si="0"/>
        <v>684842.76818361168</v>
      </c>
      <c r="D36">
        <f t="shared" si="1"/>
        <v>205452.83045508349</v>
      </c>
      <c r="E36">
        <v>330</v>
      </c>
      <c r="F36">
        <f t="shared" si="2"/>
        <v>18.165902124584949</v>
      </c>
      <c r="G36">
        <f t="shared" si="6"/>
        <v>1.6062080978346282E-2</v>
      </c>
      <c r="H36">
        <f t="shared" si="3"/>
        <v>7.036103055135091E-10</v>
      </c>
      <c r="I36">
        <f t="shared" si="4"/>
        <v>2.0897226073751219E-8</v>
      </c>
      <c r="J36">
        <f t="shared" si="5"/>
        <v>1.4697222995948837E-4</v>
      </c>
    </row>
    <row r="37" spans="1:10">
      <c r="B37" s="3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43AF-66BA-8245-B76C-3C5EF7171331}">
  <dimension ref="A2:O42"/>
  <sheetViews>
    <sheetView workbookViewId="0">
      <selection activeCell="I9" sqref="I9"/>
    </sheetView>
  </sheetViews>
  <sheetFormatPr baseColWidth="10" defaultRowHeight="18"/>
  <cols>
    <col min="9" max="9" width="17.25" customWidth="1"/>
    <col min="10" max="10" width="18" bestFit="1" customWidth="1"/>
    <col min="11" max="12" width="10.75" bestFit="1" customWidth="1"/>
    <col min="13" max="13" width="11.875" bestFit="1" customWidth="1"/>
    <col min="14" max="14" width="10.75" bestFit="1" customWidth="1"/>
  </cols>
  <sheetData>
    <row r="2" spans="1:13">
      <c r="L2" t="s">
        <v>45</v>
      </c>
      <c r="M2">
        <v>7300</v>
      </c>
    </row>
    <row r="3" spans="1:13">
      <c r="L3" t="s">
        <v>44</v>
      </c>
      <c r="M3">
        <v>40000</v>
      </c>
    </row>
    <row r="4" spans="1:13"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I4" s="6" t="s">
        <v>29</v>
      </c>
      <c r="J4">
        <v>783</v>
      </c>
      <c r="L4" t="s">
        <v>35</v>
      </c>
      <c r="M4" s="5">
        <f>M3*EXP((-LN(2)/J10)*J7)</f>
        <v>34840.342683885661</v>
      </c>
    </row>
    <row r="5" spans="1:13">
      <c r="C5" s="6">
        <v>661.6</v>
      </c>
      <c r="D5" s="8">
        <v>56809.9</v>
      </c>
      <c r="E5" s="8">
        <v>1292.0899999999999</v>
      </c>
      <c r="F5" s="9"/>
      <c r="G5" s="10"/>
      <c r="I5" t="s">
        <v>30</v>
      </c>
      <c r="J5">
        <v>591</v>
      </c>
      <c r="K5">
        <v>821</v>
      </c>
      <c r="L5" t="s">
        <v>36</v>
      </c>
      <c r="M5" s="5">
        <f>M3*EXP((-LN(2)/J11)*J8)</f>
        <v>18217.942629119741</v>
      </c>
    </row>
    <row r="6" spans="1:13">
      <c r="C6" s="6">
        <v>1173.2280000000001</v>
      </c>
      <c r="D6" s="9"/>
      <c r="E6" s="9"/>
      <c r="F6" s="9"/>
      <c r="G6" s="10"/>
      <c r="I6" t="s">
        <v>40</v>
      </c>
      <c r="J6">
        <v>2961</v>
      </c>
      <c r="K6">
        <v>1011</v>
      </c>
      <c r="L6" t="s">
        <v>43</v>
      </c>
      <c r="M6" s="5">
        <f>M2*EXP((-LN(2)/J12)*J9)</f>
        <v>6057.1462485747797</v>
      </c>
    </row>
    <row r="7" spans="1:13">
      <c r="C7" s="6">
        <v>1332.492</v>
      </c>
      <c r="D7" s="9"/>
      <c r="E7" s="9"/>
      <c r="F7" s="9"/>
      <c r="G7" s="10"/>
      <c r="I7" t="s">
        <v>31</v>
      </c>
      <c r="J7">
        <v>188611200</v>
      </c>
    </row>
    <row r="8" spans="1:13">
      <c r="C8" s="6"/>
      <c r="D8" s="9"/>
      <c r="E8" s="9"/>
      <c r="F8" s="9"/>
      <c r="G8" s="10"/>
      <c r="I8" t="s">
        <v>32</v>
      </c>
      <c r="J8">
        <v>188611200</v>
      </c>
    </row>
    <row r="9" spans="1:13">
      <c r="C9" s="6"/>
      <c r="D9" s="9"/>
      <c r="E9" s="9"/>
      <c r="F9" s="9"/>
      <c r="G9" s="10"/>
      <c r="I9" t="s">
        <v>41</v>
      </c>
      <c r="J9">
        <v>114994800</v>
      </c>
    </row>
    <row r="10" spans="1:13">
      <c r="A10" t="s">
        <v>25</v>
      </c>
      <c r="C10" s="9">
        <v>50000</v>
      </c>
      <c r="D10" s="9">
        <v>1000000</v>
      </c>
      <c r="E10" s="6"/>
      <c r="F10" s="6"/>
      <c r="G10" s="6"/>
      <c r="I10" t="s">
        <v>33</v>
      </c>
      <c r="J10">
        <v>946647648</v>
      </c>
    </row>
    <row r="11" spans="1:13">
      <c r="B11" s="3"/>
      <c r="I11" t="s">
        <v>34</v>
      </c>
      <c r="J11" s="5">
        <v>166230000</v>
      </c>
    </row>
    <row r="12" spans="1:13">
      <c r="B12" s="3"/>
      <c r="I12" t="s">
        <v>42</v>
      </c>
      <c r="J12" s="4">
        <v>427080000</v>
      </c>
    </row>
    <row r="13" spans="1:13">
      <c r="B13" s="3"/>
    </row>
    <row r="14" spans="1:13">
      <c r="A14">
        <v>661.6</v>
      </c>
      <c r="D14" s="3">
        <v>5631.31</v>
      </c>
      <c r="E14">
        <v>7.3931300000000002</v>
      </c>
    </row>
    <row r="15" spans="1:13">
      <c r="D15" s="3">
        <v>56809.9</v>
      </c>
      <c r="E15">
        <v>1.4125000000000001</v>
      </c>
    </row>
    <row r="16" spans="1:13">
      <c r="D16" s="3">
        <v>1292.0899999999999</v>
      </c>
      <c r="E16">
        <v>1.1015900000000001</v>
      </c>
    </row>
    <row r="19" spans="1:15">
      <c r="A19">
        <v>1173.2280000000001</v>
      </c>
      <c r="D19" s="3">
        <v>1274.01</v>
      </c>
      <c r="E19" s="3">
        <v>1476.13</v>
      </c>
    </row>
    <row r="20" spans="1:15">
      <c r="D20" s="3">
        <v>101044</v>
      </c>
      <c r="E20" s="3">
        <v>104317</v>
      </c>
    </row>
    <row r="21" spans="1:15">
      <c r="D21" s="3">
        <v>1556.41</v>
      </c>
      <c r="E21" s="3">
        <v>1516.92</v>
      </c>
      <c r="I21" t="s">
        <v>18</v>
      </c>
      <c r="J21" t="s">
        <v>26</v>
      </c>
      <c r="K21" t="s">
        <v>28</v>
      </c>
      <c r="L21" t="s">
        <v>37</v>
      </c>
      <c r="M21" t="s">
        <v>38</v>
      </c>
      <c r="N21" t="s">
        <v>39</v>
      </c>
    </row>
    <row r="25" spans="1:15">
      <c r="I25" s="2">
        <v>121.78</v>
      </c>
      <c r="J25" s="1">
        <v>9678.2800000000007</v>
      </c>
      <c r="K25" s="2">
        <f>(SQRT(2*PI())*D32*D34)/20</f>
        <v>456466.70053813123</v>
      </c>
      <c r="L25" s="2">
        <v>0.2858</v>
      </c>
      <c r="M25" s="2">
        <f>M6*L25*J6</f>
        <v>5125883.0300121512</v>
      </c>
      <c r="N25" s="2">
        <f t="shared" ref="N25:N27" si="0">100*K25/M25</f>
        <v>8.9051329861705639</v>
      </c>
      <c r="O25">
        <f>0.1*N25</f>
        <v>0.89051329861705641</v>
      </c>
    </row>
    <row r="26" spans="1:15">
      <c r="A26">
        <v>1332.492</v>
      </c>
      <c r="D26" s="3">
        <v>1111.8599999999999</v>
      </c>
      <c r="E26" s="3">
        <v>1345.27</v>
      </c>
      <c r="I26" s="2">
        <v>244.7</v>
      </c>
      <c r="J26" s="1">
        <v>20584.2</v>
      </c>
      <c r="K26" s="2">
        <f>(SQRT(2*PI())*D36*D38)/20</f>
        <v>82070.152780884382</v>
      </c>
      <c r="L26" s="2">
        <v>7.5800000000000006E-2</v>
      </c>
      <c r="M26" s="2">
        <f>M6*L26*J6</f>
        <v>1359488.9211858681</v>
      </c>
      <c r="N26" s="2">
        <f t="shared" si="0"/>
        <v>6.0368386606119184</v>
      </c>
      <c r="O26">
        <f t="shared" ref="O26:O30" si="1">0.1*N26</f>
        <v>0.60368386606119184</v>
      </c>
    </row>
    <row r="27" spans="1:15">
      <c r="D27" s="3">
        <v>114648</v>
      </c>
      <c r="E27" s="3">
        <v>118307</v>
      </c>
      <c r="I27" s="2">
        <v>344.28</v>
      </c>
      <c r="J27" s="1">
        <v>29361.1</v>
      </c>
      <c r="K27" s="2">
        <f>(SQRT(2*PI())*D40*D42)/20</f>
        <v>290788.64364355651</v>
      </c>
      <c r="L27" s="2">
        <v>0.26500000000000001</v>
      </c>
      <c r="M27" s="2">
        <f>M6*L27*J6</f>
        <v>4752830.6611379292</v>
      </c>
      <c r="N27" s="2">
        <f t="shared" si="0"/>
        <v>6.1182201592247658</v>
      </c>
      <c r="O27">
        <f t="shared" si="1"/>
        <v>0.61182201592247665</v>
      </c>
    </row>
    <row r="28" spans="1:15">
      <c r="D28" s="3">
        <v>1714.67</v>
      </c>
      <c r="E28" s="3">
        <v>1750.4</v>
      </c>
      <c r="I28" s="2">
        <v>661.6</v>
      </c>
      <c r="J28" s="1">
        <v>56809.9</v>
      </c>
      <c r="K28" s="2">
        <f>(SQRT(2*PI())*D14*D16)/20</f>
        <v>911931.33635502588</v>
      </c>
      <c r="L28" s="2">
        <v>0.85009999999999997</v>
      </c>
      <c r="M28" s="2">
        <f>M4*L28*J4</f>
        <v>23190718.072092246</v>
      </c>
      <c r="N28" s="2">
        <f>100*K28/M28</f>
        <v>3.932311770252797</v>
      </c>
      <c r="O28">
        <f t="shared" si="1"/>
        <v>0.39323117702527971</v>
      </c>
    </row>
    <row r="29" spans="1:15">
      <c r="I29" s="2">
        <v>1173.2280000000001</v>
      </c>
      <c r="J29" s="1">
        <v>101044</v>
      </c>
      <c r="K29" s="2">
        <f>(SQRT(2*PI())*D19*D21)/20</f>
        <v>248517.39230356077</v>
      </c>
      <c r="L29" s="2">
        <v>0.99850000000000005</v>
      </c>
      <c r="M29" s="2">
        <f>L29*M5*J5</f>
        <v>10750653.887669053</v>
      </c>
      <c r="N29" s="2">
        <f>100*K29/M29</f>
        <v>2.3116490857231393</v>
      </c>
      <c r="O29">
        <f t="shared" si="1"/>
        <v>0.23116490857231395</v>
      </c>
    </row>
    <row r="30" spans="1:15">
      <c r="I30">
        <v>1332.492</v>
      </c>
      <c r="J30" s="3">
        <v>114648</v>
      </c>
      <c r="K30">
        <f>(SQRT(2*PI())*D26*D28)/20</f>
        <v>238940.95460145586</v>
      </c>
      <c r="L30">
        <v>0.99980000000000002</v>
      </c>
      <c r="M30">
        <f>M5*L30*J5</f>
        <v>10764650.732991004</v>
      </c>
      <c r="N30">
        <f>100*K30/M30</f>
        <v>2.2196814418619328</v>
      </c>
      <c r="O30">
        <f t="shared" si="1"/>
        <v>0.22196814418619329</v>
      </c>
    </row>
    <row r="32" spans="1:15">
      <c r="A32">
        <v>121.78</v>
      </c>
      <c r="D32" s="7">
        <v>4576.8999999999996</v>
      </c>
      <c r="E32" s="11">
        <v>3508.5</v>
      </c>
    </row>
    <row r="33" spans="1:5">
      <c r="D33" s="7">
        <v>9678.2800000000007</v>
      </c>
      <c r="E33" s="11">
        <v>10916.4</v>
      </c>
    </row>
    <row r="34" spans="1:5">
      <c r="D34" s="7">
        <v>795.75199999999995</v>
      </c>
      <c r="E34" s="11">
        <v>532.22500000000002</v>
      </c>
    </row>
    <row r="36" spans="1:5">
      <c r="A36">
        <v>244.7</v>
      </c>
      <c r="D36" s="7">
        <v>706.31700000000001</v>
      </c>
      <c r="E36" s="11">
        <v>458.27499999999998</v>
      </c>
    </row>
    <row r="37" spans="1:5">
      <c r="D37" s="7">
        <v>20584.2</v>
      </c>
      <c r="E37" s="11">
        <v>22015.4</v>
      </c>
    </row>
    <row r="38" spans="1:5">
      <c r="D38" s="7">
        <v>927.09799999999996</v>
      </c>
      <c r="E38" s="11">
        <v>658.11500000000001</v>
      </c>
    </row>
    <row r="40" spans="1:5">
      <c r="A40">
        <v>344.28</v>
      </c>
      <c r="D40" s="7">
        <v>2203.86</v>
      </c>
      <c r="E40" s="11">
        <v>1438.28</v>
      </c>
    </row>
    <row r="41" spans="1:5">
      <c r="D41" s="7">
        <v>29361.1</v>
      </c>
      <c r="E41" s="11">
        <v>30934.1</v>
      </c>
    </row>
    <row r="42" spans="1:5">
      <c r="D42" s="7">
        <v>1052.77</v>
      </c>
      <c r="E42" s="11">
        <v>778.82100000000003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FE95-00E1-FF41-AB88-C04D6FD66088}">
  <dimension ref="A1:K23"/>
  <sheetViews>
    <sheetView workbookViewId="0">
      <selection activeCell="G17" sqref="G17"/>
    </sheetView>
  </sheetViews>
  <sheetFormatPr baseColWidth="10" defaultRowHeight="18"/>
  <sheetData>
    <row r="1" spans="1:9">
      <c r="A1" t="s">
        <v>49</v>
      </c>
    </row>
    <row r="4" spans="1:9">
      <c r="A4" s="3">
        <v>720.59299999999996</v>
      </c>
      <c r="B4" s="3">
        <v>204.74700000000001</v>
      </c>
      <c r="C4" s="3">
        <v>2657.16</v>
      </c>
      <c r="D4" s="3">
        <v>379.24900000000002</v>
      </c>
      <c r="E4" s="3">
        <v>173.03299999999999</v>
      </c>
      <c r="F4" s="3">
        <v>2950.2</v>
      </c>
      <c r="G4" s="3">
        <v>150.226</v>
      </c>
      <c r="H4" s="7">
        <v>197.96299999999999</v>
      </c>
      <c r="I4" s="7">
        <v>332.80399999999997</v>
      </c>
    </row>
    <row r="5" spans="1:9">
      <c r="A5" s="3">
        <v>216.893</v>
      </c>
      <c r="B5" s="3">
        <v>529.82100000000003</v>
      </c>
      <c r="C5" s="3">
        <v>654.51900000000001</v>
      </c>
      <c r="D5" s="3">
        <v>866.79899999999998</v>
      </c>
      <c r="E5" s="3">
        <v>984.93100000000004</v>
      </c>
      <c r="F5" s="3">
        <v>1348.53</v>
      </c>
      <c r="G5" s="3">
        <v>1354.85</v>
      </c>
      <c r="H5" s="7">
        <v>1909.36</v>
      </c>
      <c r="I5" s="7">
        <v>2215.09</v>
      </c>
    </row>
    <row r="6" spans="1:9">
      <c r="A6" s="3">
        <v>1.03254</v>
      </c>
      <c r="B6" s="3">
        <v>1.1461699999999999</v>
      </c>
      <c r="C6" s="3">
        <v>1.1271500000000001</v>
      </c>
      <c r="D6" s="3">
        <v>1.1045100000000001</v>
      </c>
      <c r="E6" s="3">
        <v>1.35877</v>
      </c>
      <c r="F6" s="3">
        <v>1.38368</v>
      </c>
      <c r="G6" s="3">
        <v>1.53925</v>
      </c>
      <c r="H6" s="7">
        <v>1.6195600000000001</v>
      </c>
      <c r="I6" s="7">
        <v>1.7716099999999999</v>
      </c>
    </row>
    <row r="8" spans="1:9">
      <c r="D8">
        <f>SQRT(2*PI())*D4*D6</f>
        <v>1049.9872627401157</v>
      </c>
      <c r="F8">
        <f>SQRT(2*PI())*F4*F6</f>
        <v>10232.389336854405</v>
      </c>
      <c r="H8">
        <f>SQRT(2*PI())*H4*H6</f>
        <v>803.65750142448076</v>
      </c>
      <c r="I8">
        <f>SQRT(2*PI())*I4*I6</f>
        <v>1477.9052594944824</v>
      </c>
    </row>
    <row r="12" spans="1:9">
      <c r="A12" t="s">
        <v>50</v>
      </c>
    </row>
    <row r="14" spans="1:9">
      <c r="D14" s="7">
        <v>530.84699999999998</v>
      </c>
      <c r="F14" s="3">
        <v>5868.9</v>
      </c>
      <c r="H14" s="7">
        <v>139.17500000000001</v>
      </c>
      <c r="I14" s="7">
        <v>246.54900000000001</v>
      </c>
    </row>
    <row r="15" spans="1:9">
      <c r="D15" s="7">
        <v>867.48099999999999</v>
      </c>
      <c r="F15" s="3">
        <v>1348.49</v>
      </c>
      <c r="H15" s="7">
        <v>1909.67</v>
      </c>
      <c r="I15" s="7">
        <v>2215.39</v>
      </c>
    </row>
    <row r="16" spans="1:9">
      <c r="D16" s="7">
        <v>1.19008</v>
      </c>
      <c r="F16" s="3">
        <v>1.3647899999999999</v>
      </c>
      <c r="H16" s="7">
        <v>1.50088</v>
      </c>
      <c r="I16" s="7">
        <v>1.95888</v>
      </c>
    </row>
    <row r="18" spans="4:11">
      <c r="D18">
        <f>SQRT(2*PI())*D14*D16</f>
        <v>1583.563409534597</v>
      </c>
      <c r="F18">
        <f>SQRT(2*PI())*F14*F16</f>
        <v>20077.631337897255</v>
      </c>
      <c r="H18" s="4">
        <f>SQRT(2*PI())*H14*H16*3</f>
        <v>1570.7909459218843</v>
      </c>
      <c r="I18" s="4">
        <f>SQRT(2*PI())*I14*I16*3</f>
        <v>3631.8028610606916</v>
      </c>
    </row>
    <row r="23" spans="4:11">
      <c r="D23" s="15">
        <f>D8/D18</f>
        <v>0.66305350099539295</v>
      </c>
      <c r="F23" s="15">
        <f>F8/F18</f>
        <v>0.50964126019887612</v>
      </c>
      <c r="H23" s="15">
        <f>H8/H18</f>
        <v>0.51162600822913507</v>
      </c>
      <c r="I23" s="15">
        <f>I8/I18</f>
        <v>0.40693432877104196</v>
      </c>
      <c r="K23" s="16">
        <f>(D23+F23+H23+I23)/4</f>
        <v>0.52281377454861155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0445-7447-BD49-8757-638E7B219629}">
  <dimension ref="B11:K39"/>
  <sheetViews>
    <sheetView tabSelected="1" topLeftCell="A5" workbookViewId="0">
      <selection activeCell="F15" sqref="F15"/>
    </sheetView>
  </sheetViews>
  <sheetFormatPr baseColWidth="10" defaultRowHeight="18"/>
  <cols>
    <col min="6" max="6" width="10.875" bestFit="1" customWidth="1"/>
    <col min="7" max="9" width="11.875" bestFit="1" customWidth="1"/>
  </cols>
  <sheetData>
    <row r="11" spans="2:10">
      <c r="C11" s="3">
        <v>1999.66</v>
      </c>
    </row>
    <row r="12" spans="2:10">
      <c r="C12" s="3">
        <v>1348.5</v>
      </c>
      <c r="J12" s="3">
        <v>46.119900000000001</v>
      </c>
    </row>
    <row r="13" spans="2:10">
      <c r="C13" s="3">
        <v>1.33189</v>
      </c>
      <c r="J13" s="3">
        <v>139.76300000000001</v>
      </c>
    </row>
    <row r="14" spans="2:10">
      <c r="J14" s="3">
        <v>35.828600000000002</v>
      </c>
    </row>
    <row r="15" spans="2:10">
      <c r="B15" t="s">
        <v>51</v>
      </c>
      <c r="C15">
        <f>SQRT(2*PI())*C11*C13*3</f>
        <v>20027.913471994347</v>
      </c>
      <c r="D15">
        <f>SQRT(C15)</f>
        <v>141.5200108535692</v>
      </c>
      <c r="E15" t="s">
        <v>57</v>
      </c>
      <c r="F15">
        <v>4000</v>
      </c>
      <c r="G15">
        <f>SQRT(F15)</f>
        <v>63.245553203367585</v>
      </c>
    </row>
    <row r="16" spans="2:10">
      <c r="J16" s="4">
        <f>SQRT(2*PI())*J12*J14</f>
        <v>4141.9812597383097</v>
      </c>
    </row>
    <row r="18" spans="2:11">
      <c r="B18" t="s">
        <v>52</v>
      </c>
      <c r="C18">
        <v>0.6</v>
      </c>
    </row>
    <row r="21" spans="2:11">
      <c r="B21" t="s">
        <v>53</v>
      </c>
      <c r="C21">
        <v>1.6E-2</v>
      </c>
      <c r="D21">
        <v>2E-3</v>
      </c>
      <c r="E21" t="s">
        <v>55</v>
      </c>
      <c r="F21">
        <v>0.52</v>
      </c>
      <c r="G21">
        <v>0.1</v>
      </c>
      <c r="H21" t="s">
        <v>56</v>
      </c>
      <c r="I21">
        <v>0.03</v>
      </c>
      <c r="J21">
        <v>5.0000000000000001E-3</v>
      </c>
    </row>
    <row r="24" spans="2:11">
      <c r="B24" t="s">
        <v>54</v>
      </c>
      <c r="C24">
        <f>(C15*C18)/C21</f>
        <v>751046.75519978802</v>
      </c>
      <c r="D24">
        <f>SQRT(C24)</f>
        <v>866.62953746095457</v>
      </c>
    </row>
    <row r="29" spans="2:11">
      <c r="B29" t="s">
        <v>58</v>
      </c>
      <c r="C29" s="19">
        <f>(F15*C21*C18)/(I21*C15*F21)</f>
        <v>0.12290538727264361</v>
      </c>
      <c r="D29" s="18" t="s">
        <v>71</v>
      </c>
      <c r="E29" s="20">
        <f>C29/0.227</f>
        <v>0.5414334241085621</v>
      </c>
      <c r="I29" s="4"/>
      <c r="K29" s="4"/>
    </row>
    <row r="30" spans="2:11">
      <c r="H30" t="s">
        <v>69</v>
      </c>
      <c r="I30" s="4">
        <v>2000000</v>
      </c>
      <c r="J30" t="s">
        <v>72</v>
      </c>
      <c r="K30" s="4">
        <f>I21*I30</f>
        <v>60000</v>
      </c>
    </row>
    <row r="32" spans="2:11">
      <c r="H32" t="s">
        <v>70</v>
      </c>
      <c r="I32" s="20">
        <f>F15/K30</f>
        <v>6.6666666666666666E-2</v>
      </c>
    </row>
    <row r="38" spans="3:4">
      <c r="C38">
        <v>18</v>
      </c>
      <c r="D38">
        <v>1.4</v>
      </c>
    </row>
    <row r="39" spans="3:4">
      <c r="C39">
        <v>39</v>
      </c>
      <c r="D39">
        <f>D38*C39/C38</f>
        <v>3.0333333333333332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A8358-58FC-DE4F-9736-2CB4B300D92A}">
  <dimension ref="B3:S87"/>
  <sheetViews>
    <sheetView topLeftCell="A6" workbookViewId="0">
      <selection activeCell="J84" sqref="J84"/>
    </sheetView>
  </sheetViews>
  <sheetFormatPr baseColWidth="10" defaultRowHeight="18"/>
  <cols>
    <col min="9" max="9" width="10.875" bestFit="1" customWidth="1"/>
    <col min="10" max="10" width="20.625" customWidth="1"/>
    <col min="11" max="11" width="10.875" bestFit="1" customWidth="1"/>
    <col min="12" max="13" width="10.75" bestFit="1" customWidth="1"/>
    <col min="14" max="14" width="10.875" bestFit="1" customWidth="1"/>
    <col min="15" max="15" width="10.75" bestFit="1" customWidth="1"/>
    <col min="16" max="19" width="10.875" bestFit="1" customWidth="1"/>
  </cols>
  <sheetData>
    <row r="3" spans="2:1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2:15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 t="s">
        <v>45</v>
      </c>
      <c r="N4" s="3">
        <v>7300</v>
      </c>
      <c r="O4" s="3"/>
    </row>
    <row r="5" spans="2:15"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2:15">
      <c r="B6" s="3"/>
      <c r="C6" s="3"/>
      <c r="D6" s="8"/>
      <c r="E6" s="8"/>
      <c r="F6" s="8"/>
      <c r="G6" s="8"/>
      <c r="H6" s="8"/>
      <c r="I6" s="3"/>
      <c r="J6" s="8"/>
      <c r="K6" s="3"/>
      <c r="L6" s="3"/>
      <c r="M6" s="3"/>
      <c r="N6" s="12"/>
      <c r="O6" s="3"/>
    </row>
    <row r="7" spans="2:15">
      <c r="B7" s="3"/>
      <c r="C7" s="3"/>
      <c r="D7" s="8"/>
      <c r="E7" s="8"/>
      <c r="F7" s="8"/>
      <c r="G7" s="13"/>
      <c r="H7" s="14"/>
      <c r="I7" s="3"/>
      <c r="J7" s="3"/>
      <c r="K7" s="3"/>
      <c r="L7" s="3"/>
      <c r="M7" s="3"/>
      <c r="N7" s="12"/>
      <c r="O7" s="3"/>
    </row>
    <row r="8" spans="2:15">
      <c r="B8" s="3"/>
      <c r="C8" s="3"/>
      <c r="D8" s="8"/>
      <c r="E8" s="13"/>
      <c r="F8" s="13"/>
      <c r="G8" s="13"/>
      <c r="H8" s="14"/>
      <c r="I8" s="3"/>
      <c r="J8" s="3" t="s">
        <v>40</v>
      </c>
      <c r="K8" s="3">
        <v>3643</v>
      </c>
      <c r="L8" s="3"/>
      <c r="M8" s="3" t="s">
        <v>43</v>
      </c>
      <c r="N8" s="12">
        <f>N4*EXP((-LN(2)/K14)*K11)</f>
        <v>6157.9737374227889</v>
      </c>
      <c r="O8" s="3"/>
    </row>
    <row r="9" spans="2:15">
      <c r="B9" s="3"/>
      <c r="C9" s="3"/>
      <c r="D9" s="8"/>
      <c r="E9" s="13"/>
      <c r="F9" s="13"/>
      <c r="G9" s="13"/>
      <c r="H9" s="14"/>
      <c r="I9" s="3"/>
      <c r="J9" s="3"/>
      <c r="K9" s="3"/>
      <c r="L9" s="3"/>
      <c r="M9" s="3"/>
      <c r="N9" s="3"/>
      <c r="O9" s="3"/>
    </row>
    <row r="10" spans="2:15">
      <c r="B10" s="3"/>
      <c r="C10" s="3"/>
      <c r="D10" s="8"/>
      <c r="E10" s="13"/>
      <c r="F10" s="13"/>
      <c r="G10" s="13"/>
      <c r="H10" s="14"/>
      <c r="I10" s="3"/>
      <c r="J10" s="3"/>
      <c r="K10" s="3"/>
      <c r="L10" s="3"/>
      <c r="M10" s="3"/>
      <c r="N10" s="3"/>
      <c r="O10" s="3"/>
    </row>
    <row r="11" spans="2:15">
      <c r="B11" s="3"/>
      <c r="C11" s="3"/>
      <c r="D11" s="8"/>
      <c r="E11" s="13"/>
      <c r="F11" s="13"/>
      <c r="G11" s="13"/>
      <c r="H11" s="14"/>
      <c r="I11" s="3"/>
      <c r="J11" s="3" t="s">
        <v>41</v>
      </c>
      <c r="K11" s="3">
        <v>104803200</v>
      </c>
      <c r="L11" s="3"/>
      <c r="M11" s="3"/>
      <c r="N11" s="3"/>
      <c r="O11" s="3"/>
    </row>
    <row r="12" spans="2:15">
      <c r="B12" s="3" t="s">
        <v>25</v>
      </c>
      <c r="C12" s="3"/>
      <c r="D12" s="13"/>
      <c r="E12" s="13"/>
      <c r="F12" s="8"/>
      <c r="G12" s="8"/>
      <c r="H12" s="8"/>
      <c r="I12" s="3"/>
      <c r="J12" s="3"/>
      <c r="K12" s="3"/>
      <c r="L12" s="3"/>
      <c r="M12" s="3"/>
      <c r="N12" s="3"/>
      <c r="O12" s="3"/>
    </row>
    <row r="13" spans="2:15">
      <c r="B13" s="3"/>
      <c r="C13" s="3"/>
      <c r="D13" s="3"/>
      <c r="E13" s="3"/>
      <c r="F13" s="3"/>
      <c r="G13" s="3"/>
      <c r="H13" s="3"/>
      <c r="I13" s="3"/>
      <c r="J13" s="3"/>
      <c r="K13" s="12"/>
      <c r="L13" s="3"/>
      <c r="M13" s="3"/>
      <c r="N13" s="3"/>
      <c r="O13" s="3"/>
    </row>
    <row r="14" spans="2:15">
      <c r="B14" s="3"/>
      <c r="C14" s="3"/>
      <c r="D14" s="3"/>
      <c r="E14" s="3"/>
      <c r="F14" s="3"/>
      <c r="G14" s="3"/>
      <c r="H14" s="3"/>
      <c r="I14" s="3"/>
      <c r="J14" s="3" t="s">
        <v>42</v>
      </c>
      <c r="K14" s="7">
        <v>427000000</v>
      </c>
      <c r="L14" s="3"/>
      <c r="M14" s="3"/>
      <c r="N14" s="3"/>
      <c r="O14" s="3"/>
    </row>
    <row r="15" spans="2:15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2:15">
      <c r="B16" s="3">
        <v>121.78</v>
      </c>
      <c r="C16" s="3">
        <v>0.2858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2:15">
      <c r="B17" s="3">
        <v>244.7</v>
      </c>
      <c r="C17" s="3">
        <v>7.5800000000000006E-2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2:15">
      <c r="B18" s="3">
        <v>344.28</v>
      </c>
      <c r="C18" s="3">
        <v>0.26500000000000001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>
      <c r="B19" s="3">
        <v>411.12</v>
      </c>
      <c r="C19" s="3">
        <v>2.23E-2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2:15">
      <c r="B20" s="3">
        <v>443.96</v>
      </c>
      <c r="C20" s="3">
        <v>3.15E-2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>
      <c r="B21" s="3">
        <v>778.9</v>
      </c>
      <c r="C21" s="3">
        <v>0.12939999999999999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2:15">
      <c r="B22" s="3">
        <v>867.37</v>
      </c>
      <c r="C22" s="3">
        <v>4.2500000000000003E-2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2:15">
      <c r="B23" s="3">
        <v>964.08</v>
      </c>
      <c r="C23" s="3">
        <v>0.14599999999999999</v>
      </c>
      <c r="D23" s="3"/>
      <c r="E23" s="3"/>
      <c r="F23" s="3"/>
      <c r="G23" s="3"/>
      <c r="H23" s="3"/>
      <c r="I23" s="3"/>
      <c r="J23" s="3" t="s">
        <v>18</v>
      </c>
      <c r="K23" s="3" t="s">
        <v>37</v>
      </c>
      <c r="L23" s="3" t="s">
        <v>38</v>
      </c>
      <c r="M23" s="3" t="s">
        <v>39</v>
      </c>
    </row>
    <row r="24" spans="2:15">
      <c r="B24" s="3">
        <v>1085.9000000000001</v>
      </c>
      <c r="C24" s="3">
        <v>0.1021</v>
      </c>
      <c r="D24" s="3"/>
      <c r="E24" s="3"/>
      <c r="F24" s="3"/>
      <c r="G24" s="3"/>
      <c r="H24" s="3"/>
      <c r="I24" s="3"/>
      <c r="J24" s="3">
        <v>121.78</v>
      </c>
      <c r="K24" s="3">
        <v>0.2858</v>
      </c>
      <c r="L24" s="3">
        <f>$N$8*K24*$K$8</f>
        <v>6411493.821408242</v>
      </c>
      <c r="M24" s="3"/>
    </row>
    <row r="25" spans="2:15">
      <c r="B25" s="3">
        <v>1089.7</v>
      </c>
      <c r="C25" s="3">
        <v>1.7299999999999999E-2</v>
      </c>
      <c r="D25" s="3"/>
      <c r="E25" s="3"/>
      <c r="F25" s="3"/>
      <c r="G25" s="3"/>
      <c r="H25" s="3"/>
      <c r="I25" s="3"/>
      <c r="J25" s="3">
        <v>244.7</v>
      </c>
      <c r="K25" s="3">
        <v>7.5800000000000006E-2</v>
      </c>
      <c r="L25" s="3">
        <f t="shared" ref="L25:L32" si="0">$N$8*K25*$K$8</f>
        <v>1700459.1730676866</v>
      </c>
      <c r="M25" s="3"/>
    </row>
    <row r="26" spans="2:15">
      <c r="B26" s="3">
        <v>1112.0999999999999</v>
      </c>
      <c r="C26" s="3">
        <v>0.13639999999999999</v>
      </c>
      <c r="D26" s="3"/>
      <c r="E26" s="3"/>
      <c r="F26" s="3"/>
      <c r="G26" s="3"/>
      <c r="H26" s="3"/>
      <c r="I26" s="3"/>
      <c r="J26" s="3">
        <v>344.28</v>
      </c>
      <c r="K26" s="3">
        <v>0.26500000000000001</v>
      </c>
      <c r="L26" s="3">
        <f t="shared" si="0"/>
        <v>5944877.0562392734</v>
      </c>
      <c r="M26" s="3"/>
    </row>
    <row r="27" spans="2:15">
      <c r="B27" s="3">
        <v>1408</v>
      </c>
      <c r="C27" s="3">
        <v>0.21</v>
      </c>
      <c r="D27" s="3"/>
      <c r="E27" s="3"/>
      <c r="F27" s="3"/>
      <c r="G27" s="3"/>
      <c r="H27" s="3"/>
      <c r="I27" s="3"/>
      <c r="J27" s="3">
        <v>411.12</v>
      </c>
      <c r="K27" s="3">
        <v>2.23E-2</v>
      </c>
      <c r="L27" s="3">
        <f t="shared" si="0"/>
        <v>500267.01265711617</v>
      </c>
      <c r="M27" s="1"/>
    </row>
    <row r="28" spans="2:15">
      <c r="B28" s="3"/>
      <c r="C28" s="3"/>
      <c r="D28" s="3"/>
      <c r="E28" s="3"/>
      <c r="F28" s="3"/>
      <c r="G28" s="3"/>
      <c r="H28" s="3"/>
      <c r="I28" s="3"/>
      <c r="J28" s="3">
        <v>443.96</v>
      </c>
      <c r="K28" s="3">
        <v>3.15E-2</v>
      </c>
      <c r="L28" s="3">
        <f t="shared" si="0"/>
        <v>706655.19725108345</v>
      </c>
      <c r="M28" s="1"/>
    </row>
    <row r="29" spans="2:15">
      <c r="B29" s="3"/>
      <c r="C29" s="3"/>
      <c r="D29" s="3"/>
      <c r="E29" s="3"/>
      <c r="F29" s="3"/>
      <c r="G29" s="3"/>
      <c r="H29" s="3"/>
      <c r="I29" s="3"/>
      <c r="J29" s="3">
        <v>778.9</v>
      </c>
      <c r="K29" s="3">
        <v>0.12939999999999999</v>
      </c>
      <c r="L29" s="3">
        <f t="shared" si="0"/>
        <v>2902894.6833107998</v>
      </c>
      <c r="M29" s="1"/>
    </row>
    <row r="30" spans="2:15">
      <c r="B30" s="3"/>
      <c r="C30" s="3"/>
      <c r="D30" s="3"/>
      <c r="E30" s="3"/>
      <c r="F30" s="3"/>
      <c r="G30" s="3"/>
      <c r="H30" s="3"/>
      <c r="I30" s="3"/>
      <c r="J30" s="3">
        <v>867.37</v>
      </c>
      <c r="K30" s="3">
        <v>4.2500000000000003E-2</v>
      </c>
      <c r="L30" s="3">
        <f t="shared" si="0"/>
        <v>953423.67883082689</v>
      </c>
      <c r="M30" s="1"/>
    </row>
    <row r="31" spans="2:15">
      <c r="B31" s="3"/>
      <c r="C31" s="3"/>
      <c r="D31" s="3"/>
      <c r="E31" s="3"/>
      <c r="F31" s="3"/>
      <c r="G31" s="3"/>
      <c r="H31" s="3"/>
      <c r="I31" s="3"/>
      <c r="J31" s="3">
        <v>964.08</v>
      </c>
      <c r="K31" s="3">
        <v>0.14599999999999999</v>
      </c>
      <c r="L31" s="3">
        <f t="shared" si="0"/>
        <v>3275290.7555129579</v>
      </c>
      <c r="M31" s="1"/>
    </row>
    <row r="32" spans="2:15">
      <c r="B32" s="7">
        <v>19406.3</v>
      </c>
      <c r="C32" s="7">
        <f>SQRT(2*PI())*B32*B34*3</f>
        <v>102350.2083406985</v>
      </c>
      <c r="D32" s="3"/>
      <c r="E32" s="3"/>
      <c r="F32" s="3"/>
      <c r="G32" s="3"/>
      <c r="H32" s="3"/>
      <c r="I32" s="3"/>
      <c r="J32" s="3">
        <v>1085.9000000000001</v>
      </c>
      <c r="K32" s="3">
        <v>0.1021</v>
      </c>
      <c r="L32" s="3">
        <f t="shared" si="0"/>
        <v>2290460.1790265273</v>
      </c>
      <c r="M32" s="3"/>
    </row>
    <row r="33" spans="2:19">
      <c r="B33" s="7">
        <v>121.79</v>
      </c>
      <c r="C33" s="7">
        <f t="shared" ref="C33:C77" si="1">SQRT(2*PI())*B33*B35*3</f>
        <v>0</v>
      </c>
      <c r="D33" s="3"/>
      <c r="E33" s="3"/>
      <c r="F33" s="3"/>
      <c r="G33" s="3"/>
      <c r="H33" s="3"/>
      <c r="I33" s="3"/>
      <c r="J33" s="3">
        <v>1112.0999999999999</v>
      </c>
      <c r="K33" s="3">
        <v>0.13639999999999999</v>
      </c>
      <c r="L33" s="3">
        <f>$N$8*K33*$K$8</f>
        <v>3059929.1715888181</v>
      </c>
      <c r="M33" s="3"/>
    </row>
    <row r="34" spans="2:19">
      <c r="B34" s="7">
        <v>0.70135000000000003</v>
      </c>
      <c r="C34" s="7">
        <f t="shared" si="1"/>
        <v>18338.736746925475</v>
      </c>
      <c r="D34" s="3"/>
      <c r="E34" s="7"/>
      <c r="F34" s="11"/>
      <c r="G34" s="3"/>
      <c r="H34" s="3"/>
      <c r="I34" s="3"/>
      <c r="J34" s="3">
        <v>1408</v>
      </c>
      <c r="K34" s="3">
        <v>0.21</v>
      </c>
      <c r="L34" s="3">
        <f>$N$8*K34*$K$8</f>
        <v>4711034.6483405568</v>
      </c>
      <c r="M34" s="3"/>
    </row>
    <row r="35" spans="2:19">
      <c r="B35" s="3"/>
      <c r="C35" s="7">
        <f t="shared" si="1"/>
        <v>0</v>
      </c>
      <c r="D35" s="3"/>
      <c r="E35" s="7"/>
      <c r="F35" s="11"/>
      <c r="G35" s="3"/>
      <c r="H35" s="3"/>
      <c r="I35" s="3"/>
      <c r="M35" s="3"/>
    </row>
    <row r="36" spans="2:19">
      <c r="B36" s="7">
        <v>3477.15</v>
      </c>
      <c r="C36" s="7">
        <f t="shared" si="1"/>
        <v>19099.401451715963</v>
      </c>
      <c r="D36" s="3"/>
      <c r="E36" s="7"/>
      <c r="F36" s="11"/>
      <c r="G36" s="3"/>
      <c r="H36" s="3"/>
      <c r="I36" s="3"/>
      <c r="J36" s="3"/>
      <c r="K36" s="3"/>
      <c r="L36" s="3"/>
      <c r="M36" s="3"/>
      <c r="N36" s="3"/>
      <c r="O36" s="3"/>
    </row>
    <row r="37" spans="2:19">
      <c r="B37" s="7">
        <v>244.35599999999999</v>
      </c>
      <c r="C37" s="7">
        <f t="shared" si="1"/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2:19">
      <c r="B38" s="7">
        <v>0.73044100000000001</v>
      </c>
      <c r="C38" s="7">
        <f t="shared" si="1"/>
        <v>52456.272779090592</v>
      </c>
      <c r="D38" s="3"/>
      <c r="E38" s="7"/>
      <c r="F38" s="11"/>
      <c r="G38" s="3"/>
      <c r="H38" s="3"/>
      <c r="I38" s="3"/>
      <c r="J38" s="3"/>
      <c r="K38" s="3"/>
      <c r="L38" s="3"/>
      <c r="M38" s="3"/>
      <c r="N38" s="3"/>
      <c r="O38" s="3"/>
    </row>
    <row r="39" spans="2:19">
      <c r="B39" s="3"/>
      <c r="C39" s="7">
        <f t="shared" si="1"/>
        <v>0</v>
      </c>
      <c r="D39" s="3"/>
      <c r="E39" s="7"/>
      <c r="F39" s="11"/>
      <c r="G39" s="3"/>
      <c r="H39" s="3"/>
      <c r="I39" s="3"/>
      <c r="J39" s="3"/>
      <c r="K39" s="3"/>
      <c r="L39" s="3"/>
      <c r="M39" s="3"/>
      <c r="N39" s="3"/>
      <c r="O39" s="3"/>
    </row>
    <row r="40" spans="2:19">
      <c r="B40" s="7">
        <v>9549.9500000000007</v>
      </c>
      <c r="C40" s="7">
        <f t="shared" si="1"/>
        <v>56629.486587551153</v>
      </c>
      <c r="D40" s="3"/>
      <c r="E40" s="7"/>
      <c r="F40" s="11"/>
      <c r="G40" s="3"/>
      <c r="H40" s="3"/>
      <c r="I40" s="3"/>
      <c r="J40" s="3"/>
      <c r="K40" s="3"/>
      <c r="L40" s="3"/>
      <c r="M40" s="3"/>
      <c r="N40" s="3"/>
      <c r="O40" s="3"/>
    </row>
    <row r="41" spans="2:19">
      <c r="B41" s="7">
        <v>344.01400000000001</v>
      </c>
      <c r="C41" s="7">
        <f t="shared" si="1"/>
        <v>0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2:19">
      <c r="B42" s="7">
        <v>0.78855200000000003</v>
      </c>
      <c r="C42" s="7">
        <f t="shared" si="1"/>
        <v>4111.5357250314382</v>
      </c>
      <c r="D42" s="3"/>
      <c r="E42" s="7"/>
      <c r="F42" s="11"/>
      <c r="G42" s="3"/>
      <c r="H42" s="3"/>
      <c r="I42" s="3"/>
      <c r="J42" s="3"/>
      <c r="K42" s="3"/>
      <c r="L42" s="3"/>
      <c r="M42" s="3"/>
      <c r="N42" s="3"/>
      <c r="O42" s="3"/>
    </row>
    <row r="43" spans="2:19">
      <c r="B43" s="3"/>
      <c r="C43" s="7">
        <f t="shared" si="1"/>
        <v>0</v>
      </c>
      <c r="D43" s="3"/>
      <c r="E43" s="7"/>
      <c r="F43" s="11"/>
      <c r="G43" s="3"/>
      <c r="H43" s="3"/>
      <c r="I43" s="3"/>
      <c r="J43" s="3"/>
      <c r="K43" s="3"/>
      <c r="L43" s="3"/>
      <c r="M43" s="3"/>
      <c r="N43" s="3"/>
      <c r="O43" s="3"/>
    </row>
    <row r="44" spans="2:19">
      <c r="B44" s="7">
        <v>693.36599999999999</v>
      </c>
      <c r="C44" s="7">
        <f t="shared" si="1"/>
        <v>4126.4217877070323</v>
      </c>
      <c r="D44" s="3"/>
      <c r="E44" s="7"/>
      <c r="F44" s="11"/>
      <c r="G44" s="3"/>
      <c r="H44" s="3"/>
      <c r="I44" s="3"/>
      <c r="J44" s="3"/>
      <c r="K44" s="3"/>
      <c r="L44" s="3"/>
      <c r="M44" s="3"/>
      <c r="N44" s="3"/>
      <c r="O44" s="3"/>
    </row>
    <row r="45" spans="2:19">
      <c r="B45" s="7">
        <v>410.47300000000001</v>
      </c>
      <c r="C45" s="7">
        <f t="shared" si="1"/>
        <v>0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2:19">
      <c r="B46" s="7">
        <v>0.79140699999999997</v>
      </c>
      <c r="C46" s="7">
        <f t="shared" si="1"/>
        <v>5281.9896190412219</v>
      </c>
      <c r="D46" s="3"/>
      <c r="E46" s="3"/>
      <c r="F46" s="3"/>
      <c r="G46" s="3" t="s">
        <v>46</v>
      </c>
      <c r="H46" s="3"/>
      <c r="I46" s="7">
        <v>19406.3</v>
      </c>
      <c r="J46" s="7">
        <v>3477.15</v>
      </c>
      <c r="K46" s="7">
        <v>9549.9500000000007</v>
      </c>
      <c r="L46" s="7">
        <v>693.36599999999999</v>
      </c>
      <c r="M46" s="7">
        <v>887.53700000000003</v>
      </c>
      <c r="N46" s="7">
        <v>2137.4</v>
      </c>
      <c r="O46" s="7">
        <v>598.11900000000003</v>
      </c>
      <c r="P46" s="7">
        <v>1925.14</v>
      </c>
      <c r="Q46" s="7">
        <v>1198.6500000000001</v>
      </c>
      <c r="R46" s="7">
        <v>1552.35</v>
      </c>
      <c r="S46" s="7">
        <v>1797.06</v>
      </c>
    </row>
    <row r="47" spans="2:19">
      <c r="C47" s="7">
        <f t="shared" si="1"/>
        <v>0</v>
      </c>
      <c r="I47" s="7">
        <v>121.79</v>
      </c>
      <c r="J47" s="7">
        <v>244.35599999999999</v>
      </c>
      <c r="K47" s="7">
        <v>344.01400000000001</v>
      </c>
      <c r="L47" s="7">
        <v>410.47300000000001</v>
      </c>
      <c r="M47" s="7">
        <v>443.29199999999997</v>
      </c>
      <c r="N47" s="7">
        <v>779.59</v>
      </c>
      <c r="O47" s="7">
        <v>867.92399999999998</v>
      </c>
      <c r="P47" s="7">
        <v>964.43</v>
      </c>
      <c r="Q47" s="7">
        <v>1086.07</v>
      </c>
      <c r="R47" s="7">
        <v>1112.19</v>
      </c>
      <c r="S47" s="7">
        <v>1407.84</v>
      </c>
    </row>
    <row r="48" spans="2:19">
      <c r="B48" s="7">
        <v>887.53700000000003</v>
      </c>
      <c r="C48" s="7">
        <f t="shared" si="1"/>
        <v>5410.8879804564522</v>
      </c>
      <c r="I48" s="7">
        <v>0.70135000000000003</v>
      </c>
      <c r="J48" s="7">
        <v>0.73044100000000001</v>
      </c>
      <c r="K48" s="7">
        <v>0.78855200000000003</v>
      </c>
      <c r="L48" s="7">
        <v>0.79140699999999997</v>
      </c>
      <c r="M48" s="7">
        <v>0.81072</v>
      </c>
      <c r="N48" s="7">
        <v>0.96745800000000004</v>
      </c>
      <c r="O48" s="7">
        <v>1.0059499999999999</v>
      </c>
      <c r="P48" s="7">
        <v>1.0581199999999999</v>
      </c>
      <c r="Q48" s="7">
        <v>1.14398</v>
      </c>
      <c r="R48" s="7">
        <v>1.1311500000000001</v>
      </c>
      <c r="S48" s="7">
        <v>1.25759</v>
      </c>
    </row>
    <row r="49" spans="2:19">
      <c r="B49" s="7">
        <v>443.29199999999997</v>
      </c>
      <c r="C49" s="7">
        <f t="shared" si="1"/>
        <v>0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spans="2:19">
      <c r="B50" s="7">
        <v>0.81072</v>
      </c>
      <c r="C50" s="7">
        <f t="shared" si="1"/>
        <v>13030.704037609274</v>
      </c>
      <c r="H50" t="s">
        <v>27</v>
      </c>
      <c r="I50" s="4">
        <f>SQRT(2*PI())*I46*I48*3</f>
        <v>102350.2083406985</v>
      </c>
      <c r="J50" s="4">
        <f t="shared" ref="J50:Q50" si="2">SQRT(2*PI())*J46*J48*3</f>
        <v>19099.401451715963</v>
      </c>
      <c r="K50" s="4">
        <f t="shared" si="2"/>
        <v>56629.486587551153</v>
      </c>
      <c r="L50" s="4">
        <f t="shared" si="2"/>
        <v>4126.4217877070323</v>
      </c>
      <c r="M50" s="4">
        <f t="shared" si="2"/>
        <v>5410.8879804564522</v>
      </c>
      <c r="N50" s="4">
        <f t="shared" si="2"/>
        <v>15549.954197278214</v>
      </c>
      <c r="O50" s="4">
        <f t="shared" si="2"/>
        <v>4524.5478176284005</v>
      </c>
      <c r="P50" s="4">
        <f t="shared" si="2"/>
        <v>15318.22449165018</v>
      </c>
      <c r="Q50" s="4">
        <f t="shared" si="2"/>
        <v>10311.503901919408</v>
      </c>
      <c r="R50" s="4">
        <f>SQRT(2*PI())*R46*R48*3</f>
        <v>13204.471840385764</v>
      </c>
      <c r="S50" s="4">
        <f>SQRT(2*PI())*S46*S48*3</f>
        <v>16994.674140273579</v>
      </c>
    </row>
    <row r="51" spans="2:19">
      <c r="C51" s="7">
        <f t="shared" si="1"/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spans="2:19">
      <c r="B52" s="7">
        <v>2137.4</v>
      </c>
      <c r="C52" s="7">
        <f t="shared" si="1"/>
        <v>15549.954197278214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spans="2:19">
      <c r="B53" s="7">
        <v>779.59</v>
      </c>
      <c r="C53" s="7">
        <f t="shared" si="1"/>
        <v>0</v>
      </c>
      <c r="H53" t="s">
        <v>38</v>
      </c>
      <c r="I53" s="4">
        <v>6411493.821408242</v>
      </c>
      <c r="J53" s="7">
        <v>1700459.1730676866</v>
      </c>
      <c r="K53" s="7">
        <v>5944877.0562392734</v>
      </c>
      <c r="L53" s="4">
        <v>500267.01265711617</v>
      </c>
      <c r="M53" s="4">
        <v>706655.19725108345</v>
      </c>
      <c r="N53" s="4">
        <v>2902894.6833107998</v>
      </c>
      <c r="O53" s="4">
        <v>953423.67883082689</v>
      </c>
      <c r="P53" s="4">
        <v>3275290.7555129579</v>
      </c>
      <c r="Q53" s="4">
        <v>2290460.1790265273</v>
      </c>
      <c r="R53" s="4">
        <v>3059929.1715888181</v>
      </c>
      <c r="S53" s="4">
        <v>4711034.6483405568</v>
      </c>
    </row>
    <row r="54" spans="2:19">
      <c r="B54" s="7">
        <v>0.96745800000000004</v>
      </c>
      <c r="C54" s="7">
        <f t="shared" si="1"/>
        <v>4351.4190392635201</v>
      </c>
      <c r="H54" t="s">
        <v>39</v>
      </c>
      <c r="I54" s="17">
        <f>I50/I53</f>
        <v>1.5963550958896185E-2</v>
      </c>
      <c r="J54" s="4">
        <f t="shared" ref="J54:S54" si="3">J50/J53</f>
        <v>1.1231908271728741E-2</v>
      </c>
      <c r="K54" s="4">
        <f t="shared" si="3"/>
        <v>9.5257624424911046E-3</v>
      </c>
      <c r="L54" s="4">
        <f t="shared" si="3"/>
        <v>8.2484387003451867E-3</v>
      </c>
      <c r="M54" s="4">
        <f t="shared" si="3"/>
        <v>7.6570412295912061E-3</v>
      </c>
      <c r="N54" s="4">
        <f t="shared" si="3"/>
        <v>5.3567062858592002E-3</v>
      </c>
      <c r="O54" s="4">
        <f t="shared" si="3"/>
        <v>4.7455794502364408E-3</v>
      </c>
      <c r="P54" s="4">
        <f t="shared" si="3"/>
        <v>4.6769052383720741E-3</v>
      </c>
      <c r="Q54" s="4">
        <f t="shared" si="3"/>
        <v>4.5019354609788153E-3</v>
      </c>
      <c r="R54" s="4">
        <f t="shared" si="3"/>
        <v>4.3152867598989422E-3</v>
      </c>
      <c r="S54" s="4">
        <f t="shared" si="3"/>
        <v>3.6074186264496875E-3</v>
      </c>
    </row>
    <row r="55" spans="2:19">
      <c r="C55" s="7">
        <f t="shared" si="1"/>
        <v>0</v>
      </c>
      <c r="H55" t="s">
        <v>59</v>
      </c>
      <c r="I55" s="4">
        <f>1.3333*I54</f>
        <v>2.1284202493496281E-2</v>
      </c>
      <c r="J55" s="4">
        <f t="shared" ref="J55:S55" si="4">1.3333*J54</f>
        <v>1.4975503298695928E-2</v>
      </c>
      <c r="K55" s="4">
        <f t="shared" si="4"/>
        <v>1.2700699064573389E-2</v>
      </c>
      <c r="L55" s="4">
        <f t="shared" si="4"/>
        <v>1.0997643319170237E-2</v>
      </c>
      <c r="M55" s="4">
        <f t="shared" si="4"/>
        <v>1.0209133071413955E-2</v>
      </c>
      <c r="N55" s="4">
        <f t="shared" si="4"/>
        <v>7.142096490936071E-3</v>
      </c>
      <c r="O55" s="4">
        <f t="shared" si="4"/>
        <v>6.3272810810002461E-3</v>
      </c>
      <c r="P55" s="4">
        <f t="shared" si="4"/>
        <v>6.2357177543214863E-3</v>
      </c>
      <c r="Q55" s="4">
        <f t="shared" si="4"/>
        <v>6.0024305501230543E-3</v>
      </c>
      <c r="R55" s="4">
        <f t="shared" si="4"/>
        <v>5.7535718369732597E-3</v>
      </c>
      <c r="S55" s="4">
        <f t="shared" si="4"/>
        <v>4.8097712546453682E-3</v>
      </c>
    </row>
    <row r="56" spans="2:19">
      <c r="B56" s="7">
        <v>598.11900000000003</v>
      </c>
      <c r="C56" s="7">
        <f t="shared" si="1"/>
        <v>4524.5478176284005</v>
      </c>
      <c r="H56" t="s">
        <v>60</v>
      </c>
      <c r="I56" s="4">
        <f>0.06*I55</f>
        <v>1.2770521496097767E-3</v>
      </c>
      <c r="J56" s="4">
        <f t="shared" ref="J56:S56" si="5">0.06*J55</f>
        <v>8.9853019792175562E-4</v>
      </c>
      <c r="K56" s="4">
        <f t="shared" si="5"/>
        <v>7.6204194387440331E-4</v>
      </c>
      <c r="L56" s="4">
        <f t="shared" si="5"/>
        <v>6.5985859915021418E-4</v>
      </c>
      <c r="M56" s="4">
        <f t="shared" si="5"/>
        <v>6.125479842848373E-4</v>
      </c>
      <c r="N56" s="4">
        <f t="shared" si="5"/>
        <v>4.2852578945616425E-4</v>
      </c>
      <c r="O56" s="4">
        <f t="shared" si="5"/>
        <v>3.7963686486001475E-4</v>
      </c>
      <c r="P56" s="4">
        <f t="shared" si="5"/>
        <v>3.7414306525928914E-4</v>
      </c>
      <c r="Q56" s="4">
        <f t="shared" si="5"/>
        <v>3.6014583300738326E-4</v>
      </c>
      <c r="R56" s="4">
        <f t="shared" si="5"/>
        <v>3.4521431021839556E-4</v>
      </c>
      <c r="S56" s="4">
        <f t="shared" si="5"/>
        <v>2.8858627527872209E-4</v>
      </c>
    </row>
    <row r="57" spans="2:19">
      <c r="B57" s="7">
        <v>867.92399999999998</v>
      </c>
      <c r="C57" s="7">
        <f t="shared" si="1"/>
        <v>0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spans="2:19">
      <c r="B58" s="7">
        <v>1.0059499999999999</v>
      </c>
      <c r="C58" s="7">
        <f t="shared" si="1"/>
        <v>14562.96821473509</v>
      </c>
      <c r="G58" t="s">
        <v>47</v>
      </c>
      <c r="H58" s="3"/>
      <c r="I58" s="7">
        <v>11905.3</v>
      </c>
      <c r="J58" s="7">
        <v>2194.21</v>
      </c>
      <c r="K58" s="7">
        <v>6226.64</v>
      </c>
      <c r="L58" s="7">
        <v>424.33699999999999</v>
      </c>
      <c r="M58" s="7">
        <v>573.32600000000002</v>
      </c>
      <c r="N58" s="7">
        <v>1379.63</v>
      </c>
      <c r="O58" s="7">
        <v>401.483</v>
      </c>
      <c r="P58" s="7">
        <v>1192.25</v>
      </c>
      <c r="Q58" s="7">
        <v>691.56700000000001</v>
      </c>
      <c r="R58" s="7">
        <v>981.89499999999998</v>
      </c>
      <c r="S58" s="7">
        <v>1093.78</v>
      </c>
    </row>
    <row r="59" spans="2:19">
      <c r="C59" s="7">
        <f t="shared" si="1"/>
        <v>0</v>
      </c>
      <c r="I59" s="7">
        <v>122.17400000000001</v>
      </c>
      <c r="J59" s="7">
        <v>245.078</v>
      </c>
      <c r="K59" s="7">
        <v>344.38099999999997</v>
      </c>
      <c r="L59" s="7">
        <v>411.16199999999998</v>
      </c>
      <c r="M59" s="7">
        <v>444.084</v>
      </c>
      <c r="N59" s="7">
        <v>778.40099999999995</v>
      </c>
      <c r="O59" s="7">
        <v>867.10900000000004</v>
      </c>
      <c r="P59" s="7">
        <v>964.77300000000002</v>
      </c>
      <c r="Q59" s="7">
        <v>1086.8699999999999</v>
      </c>
      <c r="R59" s="7">
        <v>1112.92</v>
      </c>
      <c r="S59" s="7">
        <v>1408.76</v>
      </c>
    </row>
    <row r="60" spans="2:19">
      <c r="B60" s="7">
        <v>1925.14</v>
      </c>
      <c r="C60" s="7">
        <f t="shared" si="1"/>
        <v>15318.22449165018</v>
      </c>
      <c r="I60" s="7">
        <v>0.57794100000000004</v>
      </c>
      <c r="J60" s="7">
        <v>0.628888</v>
      </c>
      <c r="K60" s="7">
        <v>0.67910099999999995</v>
      </c>
      <c r="L60" s="7">
        <v>0.76996699999999996</v>
      </c>
      <c r="M60" s="7">
        <v>0.73989799999999994</v>
      </c>
      <c r="N60" s="7">
        <v>0.89042399999999999</v>
      </c>
      <c r="O60" s="7">
        <v>0.91423900000000002</v>
      </c>
      <c r="P60" s="7">
        <v>1.02102</v>
      </c>
      <c r="Q60" s="7">
        <v>1.17117</v>
      </c>
      <c r="R60" s="7">
        <v>1.08632</v>
      </c>
      <c r="S60" s="7">
        <v>1.2796099999999999</v>
      </c>
    </row>
    <row r="61" spans="2:19">
      <c r="B61" s="7">
        <v>964.43</v>
      </c>
      <c r="C61" s="7">
        <f t="shared" si="1"/>
        <v>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spans="2:19">
      <c r="B62" s="7">
        <v>1.0581199999999999</v>
      </c>
      <c r="C62" s="7">
        <f t="shared" si="1"/>
        <v>9537.5867661138873</v>
      </c>
      <c r="H62" t="s">
        <v>27</v>
      </c>
      <c r="I62" s="4">
        <f>SQRT(2*PI())*I58*I60*3</f>
        <v>51741.026148267512</v>
      </c>
      <c r="J62" s="4">
        <f t="shared" ref="J62:Q62" si="6">SQRT(2*PI())*J58*J60*3</f>
        <v>10376.781852438455</v>
      </c>
      <c r="K62" s="4">
        <f t="shared" si="6"/>
        <v>31797.96420463446</v>
      </c>
      <c r="L62" s="4">
        <f t="shared" si="6"/>
        <v>2456.9380303604435</v>
      </c>
      <c r="M62" s="4">
        <f t="shared" si="6"/>
        <v>3189.9559028023987</v>
      </c>
      <c r="N62" s="4">
        <f t="shared" si="6"/>
        <v>9237.8450979215013</v>
      </c>
      <c r="O62" s="4">
        <f t="shared" si="6"/>
        <v>2760.1843760530264</v>
      </c>
      <c r="P62" s="4">
        <f t="shared" si="6"/>
        <v>9154.0392292470715</v>
      </c>
      <c r="Q62" s="4">
        <f t="shared" si="6"/>
        <v>6090.6744898660636</v>
      </c>
      <c r="R62" s="4">
        <f>SQRT(2*PI())*R58*R60*3</f>
        <v>8021.1015136828009</v>
      </c>
      <c r="S62" s="4">
        <f>SQRT(2*PI())*S58*S60*3</f>
        <v>10524.919728174593</v>
      </c>
    </row>
    <row r="63" spans="2:19">
      <c r="C63" s="7">
        <f t="shared" si="1"/>
        <v>0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spans="2:19">
      <c r="B64" s="7">
        <v>1198.6500000000001</v>
      </c>
      <c r="C64" s="7">
        <f t="shared" si="1"/>
        <v>10311.503901919408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spans="2:19">
      <c r="B65" s="7">
        <v>1086.07</v>
      </c>
      <c r="C65" s="7">
        <f t="shared" si="1"/>
        <v>0</v>
      </c>
      <c r="H65" t="s">
        <v>38</v>
      </c>
      <c r="I65" s="4">
        <v>6411493.821408242</v>
      </c>
      <c r="J65" s="7">
        <v>1700459.1730676866</v>
      </c>
      <c r="K65" s="7">
        <v>5944877.0562392734</v>
      </c>
      <c r="L65" s="4">
        <v>500267.01265711617</v>
      </c>
      <c r="M65" s="4">
        <v>706655.19725108345</v>
      </c>
      <c r="N65" s="4">
        <v>2902894.6833107998</v>
      </c>
      <c r="O65" s="4">
        <v>953423.67883082689</v>
      </c>
      <c r="P65" s="4">
        <v>3275290.7555129579</v>
      </c>
      <c r="Q65" s="4">
        <v>2290460.1790265273</v>
      </c>
      <c r="R65" s="4">
        <v>3059929.1715888181</v>
      </c>
      <c r="S65" s="4">
        <v>4711034.6483405568</v>
      </c>
    </row>
    <row r="66" spans="2:19">
      <c r="B66" s="7">
        <v>1.14398</v>
      </c>
      <c r="C66" s="7">
        <f t="shared" si="1"/>
        <v>1804.0507932019516</v>
      </c>
      <c r="H66" t="s">
        <v>39</v>
      </c>
      <c r="I66" s="4">
        <f>I62/I65</f>
        <v>8.070042269322961E-3</v>
      </c>
      <c r="J66" s="4">
        <f t="shared" ref="J66:S66" si="7">J62/J65</f>
        <v>6.1023410716285441E-3</v>
      </c>
      <c r="K66" s="4">
        <f t="shared" si="7"/>
        <v>5.3488009766765199E-3</v>
      </c>
      <c r="L66" s="4">
        <f t="shared" si="7"/>
        <v>4.911253327119597E-3</v>
      </c>
      <c r="M66" s="4">
        <f t="shared" si="7"/>
        <v>4.5141618079247879E-3</v>
      </c>
      <c r="N66" s="4">
        <f t="shared" si="7"/>
        <v>3.1822873737140148E-3</v>
      </c>
      <c r="O66" s="4">
        <f t="shared" si="7"/>
        <v>2.8950239409176524E-3</v>
      </c>
      <c r="P66" s="4">
        <f t="shared" si="7"/>
        <v>2.7948783520482952E-3</v>
      </c>
      <c r="Q66" s="4">
        <f t="shared" si="7"/>
        <v>2.6591488232965798E-3</v>
      </c>
      <c r="R66" s="4">
        <f t="shared" si="7"/>
        <v>2.6213356793216148E-3</v>
      </c>
      <c r="S66" s="4">
        <f t="shared" si="7"/>
        <v>2.2340994099633621E-3</v>
      </c>
    </row>
    <row r="67" spans="2:19">
      <c r="C67" s="7">
        <f t="shared" si="1"/>
        <v>0</v>
      </c>
      <c r="H67" t="s">
        <v>59</v>
      </c>
      <c r="I67" s="4">
        <f>2*I66</f>
        <v>1.6140084538645922E-2</v>
      </c>
      <c r="J67" s="4">
        <f t="shared" ref="J67:S67" si="8">2*J66</f>
        <v>1.2204682143257088E-2</v>
      </c>
      <c r="K67" s="4">
        <f t="shared" si="8"/>
        <v>1.069760195335304E-2</v>
      </c>
      <c r="L67" s="4">
        <f t="shared" si="8"/>
        <v>9.822506654239194E-3</v>
      </c>
      <c r="M67" s="4">
        <f t="shared" si="8"/>
        <v>9.0283236158495758E-3</v>
      </c>
      <c r="N67" s="4">
        <f t="shared" si="8"/>
        <v>6.3645747474280296E-3</v>
      </c>
      <c r="O67" s="4">
        <f t="shared" si="8"/>
        <v>5.7900478818353049E-3</v>
      </c>
      <c r="P67" s="4">
        <f t="shared" si="8"/>
        <v>5.5897567040965905E-3</v>
      </c>
      <c r="Q67" s="4">
        <f t="shared" si="8"/>
        <v>5.3182976465931597E-3</v>
      </c>
      <c r="R67" s="4">
        <f t="shared" si="8"/>
        <v>5.2426713586432297E-3</v>
      </c>
      <c r="S67" s="4">
        <f t="shared" si="8"/>
        <v>4.4681988199267242E-3</v>
      </c>
    </row>
    <row r="68" spans="2:19">
      <c r="B68" s="7">
        <v>209.71</v>
      </c>
      <c r="C68" s="7">
        <f t="shared" si="1"/>
        <v>1427.4044503054254</v>
      </c>
      <c r="H68" t="s">
        <v>60</v>
      </c>
      <c r="I68" s="4">
        <f>0.06*I67</f>
        <v>9.6840507231875524E-4</v>
      </c>
      <c r="J68" s="4">
        <f t="shared" ref="J68:S68" si="9">0.06*J67</f>
        <v>7.3228092859542525E-4</v>
      </c>
      <c r="K68" s="4">
        <f t="shared" si="9"/>
        <v>6.4185611720118235E-4</v>
      </c>
      <c r="L68" s="4">
        <f t="shared" si="9"/>
        <v>5.8935039925435157E-4</v>
      </c>
      <c r="M68" s="4">
        <f t="shared" si="9"/>
        <v>5.4169941695097448E-4</v>
      </c>
      <c r="N68" s="4">
        <f t="shared" si="9"/>
        <v>3.8187448484568176E-4</v>
      </c>
      <c r="O68" s="4">
        <f t="shared" si="9"/>
        <v>3.4740287291011828E-4</v>
      </c>
      <c r="P68" s="4">
        <f t="shared" si="9"/>
        <v>3.3538540224579543E-4</v>
      </c>
      <c r="Q68" s="4">
        <f t="shared" si="9"/>
        <v>3.1909785879558956E-4</v>
      </c>
      <c r="R68" s="4">
        <f t="shared" si="9"/>
        <v>3.1456028151859378E-4</v>
      </c>
      <c r="S68" s="4">
        <f t="shared" si="9"/>
        <v>2.6809192919560347E-4</v>
      </c>
    </row>
    <row r="69" spans="2:19">
      <c r="B69" s="7">
        <v>1090.1500000000001</v>
      </c>
      <c r="C69" s="7">
        <f t="shared" si="1"/>
        <v>0</v>
      </c>
      <c r="G69" t="s">
        <v>48</v>
      </c>
      <c r="H69" s="3"/>
      <c r="I69" s="3">
        <v>9354.59</v>
      </c>
      <c r="J69" s="3">
        <v>2215.37</v>
      </c>
      <c r="K69" s="3">
        <v>6485.03</v>
      </c>
      <c r="L69" s="3">
        <v>465.73899999999998</v>
      </c>
      <c r="M69" s="3">
        <v>610.87099999999998</v>
      </c>
      <c r="N69" s="3">
        <v>1738.76</v>
      </c>
      <c r="O69" s="3">
        <v>502.52100000000002</v>
      </c>
      <c r="P69" s="3">
        <v>1683.02</v>
      </c>
      <c r="Q69" s="3">
        <v>1093.26</v>
      </c>
      <c r="R69" s="7">
        <v>1386.86</v>
      </c>
      <c r="S69" s="7">
        <v>1740.46</v>
      </c>
    </row>
    <row r="70" spans="2:19">
      <c r="B70" s="7">
        <v>0.905142</v>
      </c>
      <c r="C70" s="7">
        <f t="shared" si="1"/>
        <v>10566.168987800425</v>
      </c>
      <c r="I70" s="3">
        <v>122.65300000000001</v>
      </c>
      <c r="J70" s="3">
        <v>245.21700000000001</v>
      </c>
      <c r="K70" s="3">
        <v>344.63400000000001</v>
      </c>
      <c r="L70" s="3">
        <v>411.29300000000001</v>
      </c>
      <c r="M70" s="3">
        <v>444.17200000000003</v>
      </c>
      <c r="N70" s="3">
        <v>779.01</v>
      </c>
      <c r="O70" s="3">
        <v>867.20299999999997</v>
      </c>
      <c r="P70" s="3">
        <v>963.58100000000002</v>
      </c>
      <c r="Q70" s="3">
        <v>1085.0999999999999</v>
      </c>
      <c r="R70" s="7">
        <v>1111.28</v>
      </c>
      <c r="S70" s="7">
        <v>1409.46</v>
      </c>
    </row>
    <row r="71" spans="2:19">
      <c r="C71" s="7">
        <f t="shared" si="1"/>
        <v>0</v>
      </c>
      <c r="I71" s="3">
        <v>0.87372000000000005</v>
      </c>
      <c r="J71" s="3">
        <v>0.89273000000000002</v>
      </c>
      <c r="K71" s="3">
        <v>0.92551099999999997</v>
      </c>
      <c r="L71" s="3">
        <v>0.92172500000000002</v>
      </c>
      <c r="M71" s="3">
        <v>0.953623</v>
      </c>
      <c r="N71" s="3">
        <v>1.0432999999999999</v>
      </c>
      <c r="O71" s="3">
        <v>1.0429600000000001</v>
      </c>
      <c r="P71" s="3">
        <v>1.0966499999999999</v>
      </c>
      <c r="Q71" s="3">
        <v>1.1516</v>
      </c>
      <c r="R71" s="7">
        <v>1.1355999999999999</v>
      </c>
      <c r="S71" s="7">
        <v>1.21113</v>
      </c>
    </row>
    <row r="72" spans="2:19">
      <c r="B72" s="7">
        <v>1552.35</v>
      </c>
      <c r="C72" s="7">
        <f t="shared" si="1"/>
        <v>13204.471840385764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spans="2:19">
      <c r="B73" s="7">
        <v>1112.19</v>
      </c>
      <c r="C73" s="7">
        <f t="shared" si="1"/>
        <v>0</v>
      </c>
      <c r="H73" t="s">
        <v>27</v>
      </c>
      <c r="I73" s="4">
        <f>SQRT(2*PI())*I69*I71*5</f>
        <v>102437.02881749818</v>
      </c>
      <c r="J73" s="4">
        <f t="shared" ref="J73:S73" si="10">SQRT(2*PI())*J69*J71*5</f>
        <v>24787.135348375792</v>
      </c>
      <c r="K73" s="4">
        <f t="shared" si="10"/>
        <v>75223.495918890389</v>
      </c>
      <c r="L73" s="4">
        <f t="shared" si="10"/>
        <v>5380.2680345517265</v>
      </c>
      <c r="M73" s="4">
        <f t="shared" si="10"/>
        <v>7301.0641419959647</v>
      </c>
      <c r="N73" s="4">
        <f t="shared" si="10"/>
        <v>22735.723901896621</v>
      </c>
      <c r="O73" s="4">
        <f t="shared" si="10"/>
        <v>6568.7359789568927</v>
      </c>
      <c r="P73" s="4">
        <f t="shared" si="10"/>
        <v>23132.217035792673</v>
      </c>
      <c r="Q73" s="4">
        <f t="shared" si="10"/>
        <v>15779.202629677937</v>
      </c>
      <c r="R73" s="4">
        <f t="shared" si="10"/>
        <v>19738.672652285062</v>
      </c>
      <c r="S73" s="4">
        <f t="shared" si="10"/>
        <v>26418.900970823626</v>
      </c>
    </row>
    <row r="74" spans="2:19">
      <c r="B74" s="7">
        <v>1.1311500000000001</v>
      </c>
      <c r="C74" s="7">
        <f t="shared" si="1"/>
        <v>15286.003907291297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spans="2:19">
      <c r="C75" s="7">
        <f t="shared" si="1"/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spans="2:19">
      <c r="B76" s="7">
        <v>1797.06</v>
      </c>
      <c r="C76" s="7">
        <f t="shared" si="1"/>
        <v>16994.674140273579</v>
      </c>
      <c r="H76" t="s">
        <v>38</v>
      </c>
      <c r="I76" s="4">
        <v>6411493.821408242</v>
      </c>
      <c r="J76" s="7">
        <v>1700459.1730676866</v>
      </c>
      <c r="K76" s="7">
        <v>5944877.0562392734</v>
      </c>
      <c r="L76" s="4">
        <v>500267.01265711617</v>
      </c>
      <c r="M76" s="4">
        <v>706655.19725108345</v>
      </c>
      <c r="N76" s="4">
        <v>2902894.6833107998</v>
      </c>
      <c r="O76" s="4">
        <v>953423.67883082689</v>
      </c>
      <c r="P76" s="4">
        <v>3275290.7555129579</v>
      </c>
      <c r="Q76" s="4">
        <v>2290460.1790265273</v>
      </c>
      <c r="R76" s="4">
        <v>3059929.1715888181</v>
      </c>
      <c r="S76" s="4">
        <v>4711034.6483405568</v>
      </c>
    </row>
    <row r="77" spans="2:19">
      <c r="B77" s="7">
        <v>1407.84</v>
      </c>
      <c r="C77" s="7">
        <f t="shared" si="1"/>
        <v>0</v>
      </c>
      <c r="H77" t="s">
        <v>39</v>
      </c>
      <c r="I77" s="17">
        <f>I73/I76</f>
        <v>1.5977092339301134E-2</v>
      </c>
      <c r="J77" s="4">
        <f t="shared" ref="J77:S77" si="11">J73/J76</f>
        <v>1.4576730650732972E-2</v>
      </c>
      <c r="K77" s="4">
        <f t="shared" si="11"/>
        <v>1.265349900549108E-2</v>
      </c>
      <c r="L77" s="4">
        <f t="shared" si="11"/>
        <v>1.0754792737532288E-2</v>
      </c>
      <c r="M77" s="4">
        <f t="shared" si="11"/>
        <v>1.0331862229836265E-2</v>
      </c>
      <c r="N77" s="4">
        <f t="shared" si="11"/>
        <v>7.8320870655790211E-3</v>
      </c>
      <c r="O77" s="4">
        <f t="shared" si="11"/>
        <v>6.889629578963323E-3</v>
      </c>
      <c r="P77" s="4">
        <f t="shared" si="11"/>
        <v>7.0626453535023136E-3</v>
      </c>
      <c r="Q77" s="4">
        <f t="shared" si="11"/>
        <v>6.8890971230000974E-3</v>
      </c>
      <c r="R77" s="4">
        <f t="shared" si="11"/>
        <v>6.450695929682608E-3</v>
      </c>
      <c r="S77" s="4">
        <f t="shared" si="11"/>
        <v>5.6078766009775745E-3</v>
      </c>
    </row>
    <row r="78" spans="2:19">
      <c r="B78" s="7">
        <v>1.25759</v>
      </c>
      <c r="H78" t="s">
        <v>59</v>
      </c>
      <c r="I78" s="4">
        <f>1.25*I77</f>
        <v>1.9971365424126419E-2</v>
      </c>
      <c r="J78" s="4">
        <f t="shared" ref="J78:S78" si="12">1.25*J77</f>
        <v>1.8220913313416215E-2</v>
      </c>
      <c r="K78" s="4">
        <f t="shared" si="12"/>
        <v>1.5816873756863851E-2</v>
      </c>
      <c r="L78" s="4">
        <f t="shared" si="12"/>
        <v>1.3443490921915359E-2</v>
      </c>
      <c r="M78" s="4">
        <f t="shared" si="12"/>
        <v>1.2914827787295332E-2</v>
      </c>
      <c r="N78" s="4">
        <f t="shared" si="12"/>
        <v>9.7901088319737768E-3</v>
      </c>
      <c r="O78" s="4">
        <f t="shared" si="12"/>
        <v>8.6120369737041538E-3</v>
      </c>
      <c r="P78" s="4">
        <f t="shared" si="12"/>
        <v>8.8283066918778928E-3</v>
      </c>
      <c r="Q78" s="4">
        <f t="shared" si="12"/>
        <v>8.6113714037501215E-3</v>
      </c>
      <c r="R78" s="4">
        <f t="shared" si="12"/>
        <v>8.06336991210326E-3</v>
      </c>
      <c r="S78" s="4">
        <f t="shared" si="12"/>
        <v>7.0098457512219681E-3</v>
      </c>
    </row>
    <row r="79" spans="2:19">
      <c r="H79" t="s">
        <v>60</v>
      </c>
      <c r="I79" s="4">
        <f>0.06*I78</f>
        <v>1.1982819254475851E-3</v>
      </c>
      <c r="J79" s="4">
        <f t="shared" ref="J79:S79" si="13">0.06*J78</f>
        <v>1.0932547988049728E-3</v>
      </c>
      <c r="K79" s="4">
        <f t="shared" si="13"/>
        <v>9.4901242541183103E-4</v>
      </c>
      <c r="L79" s="4">
        <f t="shared" si="13"/>
        <v>8.0660945531492152E-4</v>
      </c>
      <c r="M79" s="4">
        <f t="shared" si="13"/>
        <v>7.748896672377199E-4</v>
      </c>
      <c r="N79" s="4">
        <f t="shared" si="13"/>
        <v>5.8740652991842658E-4</v>
      </c>
      <c r="O79" s="4">
        <f t="shared" si="13"/>
        <v>5.167222184222492E-4</v>
      </c>
      <c r="P79" s="4">
        <f t="shared" si="13"/>
        <v>5.2969840151267358E-4</v>
      </c>
      <c r="Q79" s="4">
        <f t="shared" si="13"/>
        <v>5.1668228422500732E-4</v>
      </c>
      <c r="R79" s="4">
        <f t="shared" si="13"/>
        <v>4.8380219472619559E-4</v>
      </c>
      <c r="S79" s="4">
        <f t="shared" si="13"/>
        <v>4.2059074507331808E-4</v>
      </c>
    </row>
    <row r="81" spans="8:19"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</row>
    <row r="82" spans="8:19"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</row>
    <row r="83" spans="8:19"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6" spans="8:19">
      <c r="H86" t="s">
        <v>61</v>
      </c>
      <c r="I86" s="4">
        <f>I78+I67+I55</f>
        <v>5.7395652456268619E-2</v>
      </c>
      <c r="J86" s="4">
        <f t="shared" ref="J86:S86" si="14">J78+J67+J55</f>
        <v>4.5401098755369233E-2</v>
      </c>
      <c r="K86" s="4">
        <f t="shared" si="14"/>
        <v>3.9215174774790279E-2</v>
      </c>
      <c r="L86" s="4">
        <f t="shared" si="14"/>
        <v>3.4263640895324785E-2</v>
      </c>
      <c r="M86" s="4">
        <f t="shared" si="14"/>
        <v>3.2152284474558861E-2</v>
      </c>
      <c r="N86" s="4">
        <f t="shared" si="14"/>
        <v>2.3296780070337877E-2</v>
      </c>
      <c r="O86" s="4">
        <f t="shared" si="14"/>
        <v>2.0729365936539703E-2</v>
      </c>
      <c r="P86" s="4">
        <f t="shared" si="14"/>
        <v>2.065378115029597E-2</v>
      </c>
      <c r="Q86" s="4">
        <f t="shared" si="14"/>
        <v>1.9932099600466335E-2</v>
      </c>
      <c r="R86" s="4">
        <f t="shared" si="14"/>
        <v>1.9059613107719749E-2</v>
      </c>
      <c r="S86" s="4">
        <f t="shared" si="14"/>
        <v>1.6287815825794062E-2</v>
      </c>
    </row>
    <row r="87" spans="8:19">
      <c r="H87" t="s">
        <v>62</v>
      </c>
      <c r="I87" s="4">
        <f>0.06*I86</f>
        <v>3.4437391473761169E-3</v>
      </c>
      <c r="J87" s="4">
        <f t="shared" ref="J87:S87" si="15">0.06*J86</f>
        <v>2.7240659253221539E-3</v>
      </c>
      <c r="K87" s="4">
        <f t="shared" si="15"/>
        <v>2.3529104864874165E-3</v>
      </c>
      <c r="L87" s="4">
        <f t="shared" si="15"/>
        <v>2.0558184537194869E-3</v>
      </c>
      <c r="M87" s="4">
        <f t="shared" si="15"/>
        <v>1.9291370684735316E-3</v>
      </c>
      <c r="N87" s="4">
        <f t="shared" si="15"/>
        <v>1.3978068042202725E-3</v>
      </c>
      <c r="O87" s="4">
        <f t="shared" si="15"/>
        <v>1.2437619561923821E-3</v>
      </c>
      <c r="P87" s="4">
        <f t="shared" si="15"/>
        <v>1.2392268690177581E-3</v>
      </c>
      <c r="Q87" s="4">
        <f t="shared" si="15"/>
        <v>1.19592597602798E-3</v>
      </c>
      <c r="R87" s="4">
        <f t="shared" si="15"/>
        <v>1.1435767864631848E-3</v>
      </c>
      <c r="S87" s="4">
        <f t="shared" si="15"/>
        <v>9.7726894954764374E-4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distancescells</vt:lpstr>
      <vt:lpstr>time_alignement</vt:lpstr>
      <vt:lpstr>efficiency_monster</vt:lpstr>
      <vt:lpstr>eff_mrbig</vt:lpstr>
      <vt:lpstr>eff_beta</vt:lpstr>
      <vt:lpstr>Pn</vt:lpstr>
      <vt:lpstr>effge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Emile Cantacuzene</dc:creator>
  <cp:lastModifiedBy>Emile Cantacuzene</cp:lastModifiedBy>
  <dcterms:created xsi:type="dcterms:W3CDTF">2025-06-11T15:48:47Z</dcterms:created>
  <dcterms:modified xsi:type="dcterms:W3CDTF">2025-07-07T18:35:30Z</dcterms:modified>
</cp:coreProperties>
</file>